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040" tabRatio="500" activeTab="2"/>
  </bookViews>
  <sheets>
    <sheet name="Tổng quan" sheetId="1" r:id="rId1"/>
    <sheet name="Dữ liệu chi tiết" sheetId="2" r:id="rId2"/>
    <sheet name="Trùng ngày song song" sheetId="3" r:id="rId3"/>
    <sheet name="Ghi chú dữ liệu"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<sst xmlns="http://schemas.openxmlformats.org/spreadsheetml/2006/main" count="1194" uniqueCount="503">
  <si>
    <t>BÁO CÁO PHÂN TÍCH TASK H1/2026 (1 người phụ trách toàn bộ)</t>
  </si>
  <si>
    <t>Nguồn: task-h1-2026.xlsx · Đã soát và sửa 9 lỗi gõ ngày/tháng trong log gốc (xem sheet "Ghi chú dữ liệu")</t>
  </si>
  <si>
    <t>Tổng số task</t>
  </si>
  <si>
    <t>Tổng ngày mở (lịch, gồm cuối tuần)</t>
  </si>
  <si>
    <t>Tổng ngày công việc cộng dồn theo task</t>
  </si>
  <si>
    <t>Lưu ý</t>
  </si>
  <si>
    <t>Cộng dồn theo task sẽ CAO HƠN số ngày thực làm việc, vì 1 người vẫn có thể có log ở 2-3 task khác nhau trong CÙNG 1 NGÀY (xem hàng bên dưới và sheet "Trùng ngày song song").</t>
  </si>
  <si>
    <t>SỐ NGÀY LÀM VIỆC THỰC TẾ (đã loại trùng ngày giữa các task)</t>
  </si>
  <si>
    <t>Số ngày làm việc DUY NHẤT (unique) toàn giai đoạn</t>
  </si>
  <si>
    <t>Giai đoạn log trải dài (15/01 → 01/07/2026)</t>
  </si>
  <si>
    <t>Số ngày làm việc chuẩn T2-T6 khả dụng trong giai đoạn</t>
  </si>
  <si>
    <t>Tỷ lệ phủ ngày làm việc (T2-T6)</t>
  </si>
  <si>
    <t>PHÂN LOẠI THEO NHÓM CÔNG VIỆC (ngày công việc cộng dồn theo task)</t>
  </si>
  <si>
    <t>Nhóm công việc</t>
  </si>
  <si>
    <t>Cột lọc</t>
  </si>
  <si>
    <t>Số task</t>
  </si>
  <si>
    <t>Ngày công việc (cộng dồn)</t>
  </si>
  <si>
    <t>TB ngày/task</t>
  </si>
  <si>
    <t>Làm app mới</t>
  </si>
  <si>
    <t>I</t>
  </si>
  <si>
    <t>Fix Policy</t>
  </si>
  <si>
    <t>J</t>
  </si>
  <si>
    <t>Fix chỉ số ads</t>
  </si>
  <si>
    <t>K</t>
  </si>
  <si>
    <t>Gắn quảng cáo / Ads</t>
  </si>
  <si>
    <t>L</t>
  </si>
  <si>
    <t>Kịch bản MO</t>
  </si>
  <si>
    <t>M</t>
  </si>
  <si>
    <t>Fix crash</t>
  </si>
  <si>
    <t>N</t>
  </si>
  <si>
    <t>Tính năng mới / IAP</t>
  </si>
  <si>
    <t>O</t>
  </si>
  <si>
    <t>SDK</t>
  </si>
  <si>
    <t>P</t>
  </si>
  <si>
    <t>THEO THÁNG (ngày công việc cộng dồn theo task)</t>
  </si>
  <si>
    <t>Tháng</t>
  </si>
  <si>
    <t>Tháng 1</t>
  </si>
  <si>
    <t>Tháng 2</t>
  </si>
  <si>
    <t>Tháng 3</t>
  </si>
  <si>
    <t>Tháng 4</t>
  </si>
  <si>
    <t>Tháng 5</t>
  </si>
  <si>
    <t>Tháng 6</t>
  </si>
  <si>
    <t>STT</t>
  </si>
  <si>
    <t>Mã task</t>
  </si>
  <si>
    <t>Mã app</t>
  </si>
  <si>
    <t>Mô tả công việc</t>
  </si>
  <si>
    <t>Ngày bắt đầu</t>
  </si>
  <si>
    <t>Ngày kết thúc</t>
  </si>
  <si>
    <t>Số ngày mở (lịch)</t>
  </si>
  <si>
    <t>Số ngày có log (task)</t>
  </si>
  <si>
    <t>Gắn quảng cáo/Ads</t>
  </si>
  <si>
    <t>Tính năng mới/IAP</t>
  </si>
  <si>
    <t>Log chi tiết (đã soát lỗi ngày)</t>
  </si>
  <si>
    <t>OA2049</t>
  </si>
  <si>
    <t>A016 (B)</t>
  </si>
  <si>
    <t>Fix policy</t>
  </si>
  <si>
    <t>29/06: Remove Sub</t>
  </si>
  <si>
    <t>OA2045</t>
  </si>
  <si>
    <t>B143</t>
  </si>
  <si>
    <t>Thêm next-gen SDK Fix crash B143</t>
  </si>
  <si>
    <t>30/06: Fix crash, Update next gen sdk</t>
  </si>
  <si>
    <t>OA2039</t>
  </si>
  <si>
    <t>B281</t>
  </si>
  <si>
    <t>Thêm kịch bản ads in app  Thêm text màn splash  Thêm noti trong code khi user vào đến màn Home  Thêm noti trong code khi user thoát khỏi app  Sửa logic khi user ấn vào icon app B281</t>
  </si>
  <si>
    <t>29/06: Init Project, Change Res Name, Add Ui
30/06: Build, Fix bug Done, Wait FB App ID
01/07: 6H có Fb Id, Publish SDK</t>
  </si>
  <si>
    <t>OA2027</t>
  </si>
  <si>
    <t>AS069</t>
  </si>
  <si>
    <t>Fix bug ver trước  Thêm UIUX của màn IAP5  Thêm UIUX của màn Home  Thêm remote config  Update key remote config</t>
  </si>
  <si>
    <t>25/06: Update Logic ADS, Fix bug Old Versin, Add New Config Home UI
26/06: Update UI IAP (11H 30 Build Test), Nghỉ chiều</t>
  </si>
  <si>
    <t>OA2022</t>
  </si>
  <si>
    <t>B230</t>
  </si>
  <si>
    <t>Tối ưu showrate  Fix Crash  Thêm text màn Splash  Thay đổi giá trị trong code  Thay đổi noti khi vào Home  Thay đổi noti khi thoát app  Thêm config  Thay đổi button Skip ads native full</t>
  </si>
  <si>
    <t>25/06: Fix Show Rate, Fix crash, Update Noti,Add Feature Logic, (Start 10H-&gt; 15H ) Test Pass</t>
  </si>
  <si>
    <t>OA2018</t>
  </si>
  <si>
    <t>A093 (B)</t>
  </si>
  <si>
    <t>Fix policy review version mới  A093 (B)</t>
  </si>
  <si>
    <t>24/06: Update Ui Fix policy (Start 11H -&gt; 14H Done)</t>
  </si>
  <si>
    <t>OA2006</t>
  </si>
  <si>
    <t>B176</t>
  </si>
  <si>
    <t>Fix crash  Tối ưu showrate  Thêm text màn Splash  Thêm config  B176</t>
  </si>
  <si>
    <t>24/06: (Start 14H30) Fix crash, Add New config feature,
25/06: Test Pass (11H), (Store hết mạng)
26/06: Store Off</t>
  </si>
  <si>
    <t>OA2003</t>
  </si>
  <si>
    <t>B126</t>
  </si>
  <si>
    <t>Thêm điều hướng app khi click vào quảng cáo  Thêm next gen SDK Admob</t>
  </si>
  <si>
    <t>23/06: Add TurnOverAds, Add Next Gen SDK</t>
  </si>
  <si>
    <t>OA1998</t>
  </si>
  <si>
    <t>B269</t>
  </si>
  <si>
    <t>Gắn kịch bản MO  Thêm noti trong code khi user vào đến màn Home  Thêm noti trong code khi user thoát ra ngoài app  Sửa logic khi user ấn vào icon app  B269</t>
  </si>
  <si>
    <t>22/06: Add Native Feature, Inter, Reward Ad, Rate, Noti lock Screen, 
23/06: Translate, Build Test(10 Build) 
24/06: Fix Bug Release, Pass test ADS</t>
  </si>
  <si>
    <t>OA1985</t>
  </si>
  <si>
    <t>B136</t>
  </si>
  <si>
    <t>Thêm skip ads ở màn splash Fix chỉ số ads Sửa nút GET Start ở màn OB4 trơn tru mượt mà hơn Fix event B136</t>
  </si>
  <si>
    <t>19/06: Add Skip Inter, Fix Ads Number, Add Padding text Next</t>
  </si>
  <si>
    <t>OA1971</t>
  </si>
  <si>
    <t>B074</t>
  </si>
  <si>
    <t>Update thêm data cho phần AI Photo - Up lại tất cả data của AI Photo lên server =&gt; dùng API để fetch data json: ảnh thumb, prompt, categories - Thêm 1 key ở remote config để điều chỉnh API data</t>
  </si>
  <si>
    <t>17/06: Export content, add remote json, update ui,
18/06: Build chờ test (10H build)
19/06: Mo&amp; Po Pass test</t>
  </si>
  <si>
    <t>OA1928</t>
  </si>
  <si>
    <t>AS080</t>
  </si>
  <si>
    <t>Fix crash Thêm điều hướng app sau khi thoát bởi quảng cáo Thêm logic auto next ở inter splash AS080</t>
  </si>
  <si>
    <t>09/06: Fix crash, Add logic Auto back, add Skip Inter Build (15H30),Test Pass
10/06: Test pass Sign Apk</t>
  </si>
  <si>
    <t>OA1924</t>
  </si>
  <si>
    <t>Làm app mới theo app mẫu B269</t>
  </si>
  <si>
    <t>11/06: First Flow, Home UI
12/06: Reels (12H30, 16H khám sức khỏe), Snackbar,
15/06: Profile, Update profile,collection, search
16/06: Chat, Profile, Collection, Search
17/06: Dialog InApp, Build 11 H Wait Tester
18/06: Chờ tester test, Fix bug &amp; Build Test
19/06: Test Pass (14H) Wait ASO Build Product 
22/06: Build Sign Wait Test Sign</t>
  </si>
  <si>
    <t>OA1875</t>
  </si>
  <si>
    <t>Thêm tính năng mới  Triển khai IAP/Sub  A093</t>
  </si>
  <si>
    <t>03/06: Web to PDF, Image To PDF
04/06: Scan To PDF, Crop, Edit Img
05/06: Esign, UI Sub
08/06: Add Logic IAP( pay splash, sale, ob,), Event tracking
09/06: Add Ads Feature, Build 11H30,Peding Wait Test, 
10/06: Fix bug, 6H, Tìm hiểu tính năng B269,
11/06: Fix bug IAP Mo, Finish Test, Wait Adjust IAP,
12/06: Chờ Token
15/06: Có Adjust Token, Build, Build Failed Miss,
16/06: Build Sign APK, Test Sign APK, ASO Miss Roll APK
22/06: Fix crash store(1H), Build test, tester passs
23/06: Mo Passs Build Sign Apk</t>
  </si>
  <si>
    <t>OA1869</t>
  </si>
  <si>
    <t>B022</t>
  </si>
  <si>
    <t>Update luồng language  Gắn adjust để tracking sub</t>
  </si>
  <si>
    <t>02/06: Add new lang UI, Ad Logic Ads, Fix bug, Build APK</t>
  </si>
  <si>
    <t>OA1845</t>
  </si>
  <si>
    <t>B221</t>
  </si>
  <si>
    <t>Thêm kịch bản MO  Thêm Noti trong code khi user vào đến màn Home  Thêm noti trong code khi user thoát ra ngoài app  Sửa logic khi user nhấn vào icon app  B221</t>
  </si>
  <si>
    <t>01/06: Init Ads, Banner Ad, Inter, Rate, Noti lock Screen
02/06: Fix bug last ver, 10H Build, Wait Mo Test, Fix bug tester</t>
  </si>
  <si>
    <t>OA1831</t>
  </si>
  <si>
    <t>B090</t>
  </si>
  <si>
    <t>Fix chỉ số  Thêm luồng language mới  Update hf trong code</t>
  </si>
  <si>
    <t>28/05: Start (11H) New language Ui
29/05: Ad logic Ads, Build APK</t>
  </si>
  <si>
    <t>OA1826</t>
  </si>
  <si>
    <t>AS084</t>
  </si>
  <si>
    <t>Update kịch bản ads AS084</t>
  </si>
  <si>
    <t>27/05: Update KB Ads (17H Start)
28/05: Build (10h), Mo Feeback 18H</t>
  </si>
  <si>
    <t>OA1818</t>
  </si>
  <si>
    <t>A075 (B)</t>
  </si>
  <si>
    <t>Check lại imp/new user</t>
  </si>
  <si>
    <t>25/05: Fix impression 
26/05: Build 10H (Chờ test vì Test nhiều task ưu tiên app mới), Build Sign Apk</t>
  </si>
  <si>
    <t>OA1814</t>
  </si>
  <si>
    <t>B174</t>
  </si>
  <si>
    <t>Fix crash  Điều hướng app sau khi thoát bởi quảng cáo  B174</t>
  </si>
  <si>
    <t>25/05: Fix crash, Add Turn over ads</t>
  </si>
  <si>
    <t>OA1803</t>
  </si>
  <si>
    <t>A115</t>
  </si>
  <si>
    <t>Fix crash  Sửa lại kịch bản ads  Thêm + sửa logic auto next  A115</t>
  </si>
  <si>
    <t>20/05: Fix crash, Update Kb Ads, Add logic Auto next( 11h &gt; 16H)
21-24: Summer Trip
25: Fix bug&amp; Build 11H -&gt; Wait test(Test Nghỉ)
26/05: Test pass Build Sign 11H</t>
  </si>
  <si>
    <t>OA1800</t>
  </si>
  <si>
    <t>B224</t>
  </si>
  <si>
    <t>Thêm kb MO ver đầu Thêm noti vào code khi user đến màn Home Thêm noti trong code khi user thoát ra ngoài app Sửa logic khi user ấn vào icon app B224</t>
  </si>
  <si>
    <t>26/05: Init Ads, Ufo Ad, Remove not use Res
27/05: Rate, Noti, Feature Ads, Build 11H, Fix bug + Test Done</t>
  </si>
  <si>
    <t>OA1775</t>
  </si>
  <si>
    <t>AS082</t>
  </si>
  <si>
    <t>Gắn kịch bản MO Thêm noti trong code khi user vào đến màn Home Thêm noti trong code khi user thoát ra ngoài app Sửa logic khi user ấn vào icon app AS082</t>
  </si>
  <si>
    <t>13/05: Init Ads, Feature Ads, Rate
14/05: Noti lock Screen, 10H Build Wait Mo Test( 15h30 Done Wait Facebook App Id)
Fix bug</t>
  </si>
  <si>
    <t>OA1767</t>
  </si>
  <si>
    <t>A091 (B)</t>
  </si>
  <si>
    <t>Fix chỉ số ads Tích hợp adjust IAP/SUB Thêm remote config ở màn Applying language next  Fix event Thêm chức năng fast can Thêm chức năng deep scan Sửa màn IAP Làm SUB Gắn event purchase</t>
  </si>
  <si>
    <t>18/05: Add Feature Deep Scan, Feature Fast Scan
19/05: Add IAP, Fix Ads, Check load Ads
20/05: Fix crash (11 h Build), 17H (18h 30 Fix bug)
21-24: Summer Trip
25/05: Fix bug(9-&gt;10h30) Build, Wait test( Test + MO nghỉ)
26/05: Fĩx bug Build Sign 14H Test past Tester</t>
  </si>
  <si>
    <t>OA1765</t>
  </si>
  <si>
    <t>B025</t>
  </si>
  <si>
    <t>Fix chỉ số Thêm noti vào home + thoát app Thay đổi logic khi bấm vào icon app Thêm chỉ dẫn giảm drop FO Update KB Ads</t>
  </si>
  <si>
    <t>14/05: Fix drop user, Add new UI
15/05: Update KB Ads, Fix Chỉ số, Thêm Noti (Wip 4H 18H Build) Build Sign Apk</t>
  </si>
  <si>
    <t>OA1746</t>
  </si>
  <si>
    <t>A073 (B)</t>
  </si>
  <si>
    <t>Tích hợp SDK Next gen (A073)</t>
  </si>
  <si>
    <t>12/05: Update Sdk (15H Start)</t>
  </si>
  <si>
    <t>OA1737</t>
  </si>
  <si>
    <t>A112 (B)</t>
  </si>
  <si>
    <t>Update KB ads</t>
  </si>
  <si>
    <t>11/05: Remove new Flow Ufo, Add New ad logic
12/05: Add Logic OB Build( 14H) , Fix bug</t>
  </si>
  <si>
    <t>OA1734</t>
  </si>
  <si>
    <t>B044</t>
  </si>
  <si>
    <t>Fix lỗi ver điều hướng app</t>
  </si>
  <si>
    <t>07/05: Check ad Skip InterSplash, Build Test (17h45)
08/05: Fix bug, Build Apk(Mo pass 08/05, Ad OB No fill waiting check ads)</t>
  </si>
  <si>
    <t>OA1715</t>
  </si>
  <si>
    <t>Thay đổi logic native  Thay đổi màn generating</t>
  </si>
  <si>
    <t>06/05: Add new logic Native Close, Update native in app, change api
07/05: Peding Wip OA1734
08/05: Add new Api, Fix crash, Add 
11/05: Build (9H40) Fix bug, Check Api Return ( Waiting MO Test) 
13/05: Mo return Feedback Pending Wip OA1775
14/05: 10H fix bug -&gt;10h30 Build Wait test
15/05: Check Ads Not Fill In List-&gt; Update Logic Ads In List, Check Impression In App, Build Sign Apk Tester Pass</t>
  </si>
  <si>
    <t>OA1714</t>
  </si>
  <si>
    <t>B205</t>
  </si>
  <si>
    <t>Gắn kịch bản MO Thêm noti trong code khi user vào đến màn Home Thêm noti trong code khi user thoát ra ngoài app Sửa logic khi user ấn vào icon app B205</t>
  </si>
  <si>
    <t>04/05: Init compose ads, Ufo ad, Native In App
05/05: Add Feature Ads, Rate, Noti lock , Quay Video + Fix Permison Release Store
06/05: Fix bug ads</t>
  </si>
  <si>
    <t>OA1712</t>
  </si>
  <si>
    <t>Điều hướng app sau khi thoát bởi quảng cáo A093 (B)</t>
  </si>
  <si>
    <t>04/05: Add Logic auto back app</t>
  </si>
  <si>
    <t>OA1709</t>
  </si>
  <si>
    <t>Điều hướng app sau khi thoát bởi quảng cáo B044</t>
  </si>
  <si>
    <t>24/04: Add Logic auto back app
04/05: Build Test (10H) Wait test</t>
  </si>
  <si>
    <t>OA1646</t>
  </si>
  <si>
    <t>B166</t>
  </si>
  <si>
    <t>Thêm kịch bản MO  Thêm Noti trong code khi user vào đến màn Home  Thêm noti trong code khi user thoát ra ngoài app  Sửa logic khi user nhấn vào icon app  Kịch bản iap/sub  B166</t>
  </si>
  <si>
    <t>15/04: Add UI, Add First Flow Sdk, Add Sub
16/04: Fix bug (2H)(11H -&gt; 14H 30)</t>
  </si>
  <si>
    <t>OA1641</t>
  </si>
  <si>
    <t>Làm app mới theo design  B205</t>
  </si>
  <si>
    <t>16/04: Init Compose Project, Ufo (15h Start)
17/04: Home UI, Track Now
18/04: Track now, Add Tracker
20/04: Find Device, Permission
21/04: Lock App, Profile
22/04: Update Profile, Setting, Ufo, Transaltem, Build APK(15h), Fix bug
23/04: Fix bug (Build r2 )
24/04: Fix bug, Build Product Wait Test</t>
  </si>
  <si>
    <t>OA1630</t>
  </si>
  <si>
    <t>B121</t>
  </si>
  <si>
    <t>Thêm logic auto Language Fix show rate</t>
  </si>
  <si>
    <t>11/04: Add new Ui, Language (4H)
13/04: Add logic AutoSkip, Fix show rate (4H) (Build test)</t>
  </si>
  <si>
    <t>OA1621</t>
  </si>
  <si>
    <t>B086</t>
  </si>
  <si>
    <t>Update SDK:  com.blash.ads.sdk:open-sdk:0.0.4-alpha2</t>
  </si>
  <si>
    <t>09/04: Apply ver mới Stuck ở splash-&gt; peding hỏi đối tác(1H)
10/04: (10h đối tac phản hồi apply và check bị crash -&gt; hỏi tích hơp 11 h30)
11/04: Apply code new version,update resource id (4H)</t>
  </si>
  <si>
    <t>OA1610</t>
  </si>
  <si>
    <t>Gắn các kịch bản MO ver đầu  Thêm noti trong code khi user vào đến màn Home  Thêm noti trong code khi user thoát ra ngoài app  Sửa logic khi user ấn vào icon app  B143</t>
  </si>
  <si>
    <t>08/04: Init Ads, Ufo, Feature Ads, Notilock
09/04: Build Test, Fix bug(5H)</t>
  </si>
  <si>
    <t>OA1601</t>
  </si>
  <si>
    <t>B149</t>
  </si>
  <si>
    <t>Thêm kịch bản MO luồng FO Thêm Noti trong code khi user vào đến màn Home Thêm noti trong code khi user thoát ra ngoài app Sửa logic khi user nhấn vào icon app B149</t>
  </si>
  <si>
    <t>06/04: Add UfoAds Build Test
07/04: Fix bug (1H)</t>
  </si>
  <si>
    <t>OA1578</t>
  </si>
  <si>
    <t>AS022</t>
  </si>
  <si>
    <t>Thay đổi luồng app Thay đổi native full screen form Check lại logic xin quyền khi click vào tính năng Bổ sung event tracking AS022</t>
  </si>
  <si>
    <t>09/04: New Flow Ui (2H)
10/04: New form ads, Add event, update permission, new logic ufo 
11/04: Build (9h30) (no fix bug)</t>
  </si>
  <si>
    <t>OA1564</t>
  </si>
  <si>
    <t>AS070</t>
  </si>
  <si>
    <t>Thêm large anchor banner ads (a070)</t>
  </si>
  <si>
    <t>30/03: Thêm Anchor Banner</t>
  </si>
  <si>
    <t>OA1553</t>
  </si>
  <si>
    <t>Đổi màu button CTA ad native  Update UI màn Onboarding  Thêm tính năng Screen Flash  Thêm tính năng Compass  Update kịch bản ads  Thêm Noti trong code khi user vào đến màn Home  Thêm noti trong code khi user thoát ra ngoài app  Sửa logic khi user nhấn vào icon app</t>
  </si>
  <si>
    <t>13/04: Add Ui Home, Compass feature, UI Screen Light (4H)
14/04: Screen light feature, Add logic Ads, Build test
15/04: Fix bug (9H -&gt; 9H30) Peding wait MO test
16/04: Fix bug (2H (9H -&gt; 11H) Build 15h30)</t>
  </si>
  <si>
    <t>OA1549</t>
  </si>
  <si>
    <t>B042</t>
  </si>
  <si>
    <t>Thêm kịch bản ads phần content DIY Update lại remote config default trong code</t>
  </si>
  <si>
    <t>23/03: Add KB Ads(5H)((Build 16H30)</t>
  </si>
  <si>
    <t>OA1547</t>
  </si>
  <si>
    <t>Làm app mới theo app mẫu  B143</t>
  </si>
  <si>
    <t>27/03: Nghiêm cứu API, Build Api cho PO Test (2H)
30/03: Thêm Api, Thêm Home UI
31/03: Home UI, AI Interor Desing
01/04: Ai Interior, Preview, Report
02/04: Exterior, New Wall, History
03/04: Explode, Ufo, Setting, Build ver 1
06/04: Pending wait test Do OA1601
07/04: Fix bug, Build Product</t>
  </si>
  <si>
    <t>OA1543</t>
  </si>
  <si>
    <t>B122</t>
  </si>
  <si>
    <t>Thêm kịch bản ads Thêm kịch bản lockscreen</t>
  </si>
  <si>
    <t>25/03: Init Module, Change Res name, Update Ui
26/03: Add Ads, Fix bug
27/03: Fix bug (1H) (Wait Mo Test)</t>
  </si>
  <si>
    <t>OA1528</t>
  </si>
  <si>
    <t>B012</t>
  </si>
  <si>
    <t>Fix chỉ số ads  Fix event  Thêm skip ads ở splash</t>
  </si>
  <si>
    <t>26/03: Fix chi so, Fix event tracking
27/03: Add logic skip Inter, check Crash, Fox bug(5h)</t>
  </si>
  <si>
    <t>OA1522</t>
  </si>
  <si>
    <t>AS068</t>
  </si>
  <si>
    <t>Bật hf trong code</t>
  </si>
  <si>
    <t>06/04: On HF in code</t>
  </si>
  <si>
    <t>OA1498</t>
  </si>
  <si>
    <t>B081</t>
  </si>
  <si>
    <t>23/03: Fix show rate (2H)</t>
  </si>
  <si>
    <t>OA1497</t>
  </si>
  <si>
    <t>A139 (B)</t>
  </si>
  <si>
    <t>Update logic load ads (A139)</t>
  </si>
  <si>
    <t>12/03: Chuyển luồng load ad(3H)</t>
  </si>
  <si>
    <t>OA1488</t>
  </si>
  <si>
    <t>B113</t>
  </si>
  <si>
    <t>Thêm kịch bản ads  Thêm kịch bản noti lockscreen  Thêm noti trong code khi user vào đến màn Home  Thêm noti trong code khi user thoát ra ngoài app  Sửa logic khi user ấn vào icon app</t>
  </si>
  <si>
    <t>13/03: Add UI, Chang Resouce Name, Update Remote Config(4h)
16/03:Notil lock, Document, Fix bug
17/03: Build Product, Fix bug (4H)</t>
  </si>
  <si>
    <t>OA1486</t>
  </si>
  <si>
    <t>TAS004</t>
  </si>
  <si>
    <t>Tối ưu chỉ số ads</t>
  </si>
  <si>
    <t>12/03: Check show rate, fix impression(5h)
13/03: Fix bug(1H)</t>
  </si>
  <si>
    <t>OA1485</t>
  </si>
  <si>
    <t>Update thêm tính năng DIY Wallpaper - Sửa màn đầu tiên khi vào app thành Màn Wallpaper</t>
  </si>
  <si>
    <t>17/03: Update Base, Ui Create Collection (2H)
18/03: Icon Editor, Text Edit
19/03: Undo, Redo, Text Style(6h) (2H Semina)
20/03: Frame, edit bg, my wallpaper
23/03: Fix bug(Build 10H)(Wip Add Ads)
24/03: Fix bug 
25/03: Fix bug(4h)</t>
  </si>
  <si>
    <t>OA1453</t>
  </si>
  <si>
    <t>A068 (B)</t>
  </si>
  <si>
    <t>làm event Taichi</t>
  </si>
  <si>
    <t>10/03: Update Taichi Event</t>
  </si>
  <si>
    <t>OA1452</t>
  </si>
  <si>
    <t>A047 (B)</t>
  </si>
  <si>
    <t>09/03: Update Taichi Event(1K)
11/03: Remove Read Media, Fix bug(4H)</t>
  </si>
  <si>
    <t>OA1451</t>
  </si>
  <si>
    <t>A039 (B)</t>
  </si>
  <si>
    <t>09/03: Update Taichi Event(1H)</t>
  </si>
  <si>
    <t>OA1446</t>
  </si>
  <si>
    <t>OA1445</t>
  </si>
  <si>
    <t>OA1436</t>
  </si>
  <si>
    <t>B070</t>
  </si>
  <si>
    <t>Fix imp/new user &amp; req/new user Chuyển UX tính năng Piano Style &amp; thêm ads inter  Thêm màn loading  Thêm ads reward  Thêm id hf trong code  Check lại cách load và show ads</t>
  </si>
  <si>
    <t>05/03: Update New UI, Udate KB Ads(4h)
06/03: Fix impresion (2H)
09/03: Fix bug(5H)</t>
  </si>
  <si>
    <t>OA1433</t>
  </si>
  <si>
    <t>B096</t>
  </si>
  <si>
    <t>Thêm kịch bản ads  Thêm kịch bản rate  Thêm kịch bản noti lock screen  Thêm text màn splash  Thêm noti trong code khi user vào đến màn Home  Thêm noti trong code khi user thoát ra ngoài app  Sửa logic khi user ấn vào icon app</t>
  </si>
  <si>
    <t>04/03: Ads, Rate, Noti lock, udpate ui
05/03: Build Test, (Peding Fix bug)
06/03: Fix bug(4h)
17/03: Add Licencse (2H)</t>
  </si>
  <si>
    <t>OA1420</t>
  </si>
  <si>
    <t>B060</t>
  </si>
  <si>
    <t>Fix chỉ số ads (B060)</t>
  </si>
  <si>
    <t>10/03: Check show rate, Fix impression
11/03: Build apk chờ Mo test</t>
  </si>
  <si>
    <t>OA1417</t>
  </si>
  <si>
    <t>B045</t>
  </si>
  <si>
    <t>Check nguyên nhân native_language_loading không show được ads và fix</t>
  </si>
  <si>
    <t>13/03: Fix logic start lang loading(2H)</t>
  </si>
  <si>
    <t>OA1409</t>
  </si>
  <si>
    <t>A083 (B)</t>
  </si>
  <si>
    <t>Update kịch bản ads  Thêm skip ads splash  Check show rate</t>
  </si>
  <si>
    <t>03/03: Update KB Ads
04/03 (Pending làm task OA1433)
05/03: Add logic Skip inter, Check show rate(4h)</t>
  </si>
  <si>
    <t>OA1392</t>
  </si>
  <si>
    <t>Fix chỉ số ads Fix event Giải pháp giảm drop user</t>
  </si>
  <si>
    <t>Quang: 
25/02: fix ads and event, update flow reduce drop user (sáng họp 8/3)
26/02: update UI and UX language screen, fix ANR
Đông:
02/03: Refactor code, Fixbug(5H)
03/03: Fix bug(3H)</t>
  </si>
  <si>
    <t>OA1389</t>
  </si>
  <si>
    <t>B055</t>
  </si>
  <si>
    <t>Thêm remote config flow ads auto next language dup  Logic auto next ads ở inter splash  Thêm noti trong code khi user vào đến màn Home  Thêm noti trong code khi user thoát ra ngoài app  Sửa logic khi user ấn vào icon app  Sửa giá trị default trong code  Fix chỉ số ads  Thêm config tắt màn onboarding</t>
  </si>
  <si>
    <t>12/02: Fix chỉ số, Update Logic, Update UI UFO
(13-&gt; 23): Nghỉ lễ
24/02: Fix kb ads, update resource name
25/02: Fix bug</t>
  </si>
  <si>
    <t>OA1384</t>
  </si>
  <si>
    <t>Làm app mới theo app mẫu</t>
  </si>
  <si>
    <t>25/02: Ufo,Home Ui (3h)
26/02: Recomend, Eposode
27/02: History, Play Video
02/03: Dịch NN, Fix bug(3H)
03/03: Fix bug (4h Done, Pending chờ lience)</t>
  </si>
  <si>
    <t>OA1373</t>
  </si>
  <si>
    <t>B295</t>
  </si>
  <si>
    <t>1. Thêm kịch bản MO  2. Thêm Noti trong code khi user vào đến màn Home 3. Thêm noti trong code khi user thoát ra ngoài app 4. Sửa logic khi user nhấn vào icon app</t>
  </si>
  <si>
    <t>05/02: Init Ads, Ufo Ad
06/02: Feature Ads, Notilock, Rate, Init IAP
09/02: IAP(vừa làm vừa sửa kb SUB)
10/02: Fix bug
11/02: Fix IAP
12/02: Fix bug</t>
  </si>
  <si>
    <t>OA1358</t>
  </si>
  <si>
    <t>B073</t>
  </si>
  <si>
    <t>Fix chỉ số ads Fix event khắc phục drop user Fix crash B073</t>
  </si>
  <si>
    <t>02/02: Fix chỉ số ads, fix drop user
03/02: Fix crash, new flow ufo, fix event
04/02: Fix bug
05/02: Fix bug</t>
  </si>
  <si>
    <t>OA1346</t>
  </si>
  <si>
    <t>Update KB ad</t>
  </si>
  <si>
    <t>04/02: Update new flow UFO, 
05/02: Update logic ads, Fix bug
(06/02): Pending
11/02: Build SignApk</t>
  </si>
  <si>
    <t>OA1331</t>
  </si>
  <si>
    <t>A159</t>
  </si>
  <si>
    <t>Gắn kịch bản MO B087</t>
  </si>
  <si>
    <t>29/01: UFO, Ad Ads Script
30/01: Fix bug
02/02: Fix bug</t>
  </si>
  <si>
    <t>OA1327</t>
  </si>
  <si>
    <t>A062 (B)</t>
  </si>
  <si>
    <t>Update kịch bản ads (A062) Thay admob</t>
  </si>
  <si>
    <t>26/01: Thay AdUnit</t>
  </si>
  <si>
    <t>OA1304</t>
  </si>
  <si>
    <t>Gắn kịch bản MO  B070</t>
  </si>
  <si>
    <t>16/01: Init ads
19/01: Finish Ad Script
20/01: Fix bug
21/01: Fix bug</t>
  </si>
  <si>
    <t>OA1299</t>
  </si>
  <si>
    <t>Làm app mới theo App mẫu</t>
  </si>
  <si>
    <t>22/01: Tìm hiểu app mẫu, Home, Guide
23/01: Add Item, Play Stream,
26/01: Add Url, File, Storage
27/01: Channel, Favorite, History
28/01: Ufo, Setting, IAP, Dich NN
30/01: Fix bug
02/02: Fix bug</t>
  </si>
  <si>
    <t>OA1266</t>
  </si>
  <si>
    <t>TAS001 (B)</t>
  </si>
  <si>
    <t>Update giá trị default trong code  Check load ads</t>
  </si>
  <si>
    <t>15/01: Update KB Ads, Check load Ads
16/01: Buidl test
19/01: Fix bug</t>
  </si>
  <si>
    <t>OA1225</t>
  </si>
  <si>
    <t>A095 (B)</t>
  </si>
  <si>
    <t>Thêm tính năng yêu cầu user kết nối internet mới có thể sử dụng app</t>
  </si>
  <si>
    <t xml:space="preserve">Thêm popup Internet, fix bug 
</t>
  </si>
  <si>
    <t>CÁC NGÀY 1 NGƯỜI GHI NHẬN THAO TÁC TRÊN 2 TASK CÙNG LÚC (sau khi đã sửa lỗi ngày tháng)</t>
  </si>
  <si>
    <t>111 cặp ngày trùng · 71 ngày cả hai phía đều có thao tác thật (không phải chờ/nghỉ). Đây chính là lý do "ngày công việc cộng dồn theo task" (200) cao hơn "ngày làm việc thực tế" (108).</t>
  </si>
  <si>
    <t>Ngày</t>
  </si>
  <si>
    <t>Mã task A</t>
  </si>
  <si>
    <t>App A</t>
  </si>
  <si>
    <t>Thao tác task A</t>
  </si>
  <si>
    <t>Mã task B</t>
  </si>
  <si>
    <t>App B</t>
  </si>
  <si>
    <t>Thao tác task B</t>
  </si>
  <si>
    <t>Cả hai đều làm thật?</t>
  </si>
  <si>
    <t>Init ads</t>
  </si>
  <si>
    <t>Buidl test</t>
  </si>
  <si>
    <t>Có</t>
  </si>
  <si>
    <t>Finish Ad Script</t>
  </si>
  <si>
    <t>Fix bug</t>
  </si>
  <si>
    <t>Thay AdUnit</t>
  </si>
  <si>
    <t>Add Url, File, Storage</t>
  </si>
  <si>
    <t>Fix chỉ số ads, fix drop user</t>
  </si>
  <si>
    <t>Update new flow UFO,</t>
  </si>
  <si>
    <t>Update logic ads, Fix bug</t>
  </si>
  <si>
    <t>Init Ads, Ufo Ad</t>
  </si>
  <si>
    <t>Fix IAP</t>
  </si>
  <si>
    <t>Build SignApk</t>
  </si>
  <si>
    <t>Fix chỉ số, Update Logic, Update UI UFO</t>
  </si>
  <si>
    <t>fix ads and event, update flow reduce drop user (sáng họp 8/3)</t>
  </si>
  <si>
    <t>Ufo,Home Ui (3h)</t>
  </si>
  <si>
    <t>update UI and UX language screen, fix ANR</t>
  </si>
  <si>
    <t>Recomend, Eposode</t>
  </si>
  <si>
    <t>Refactor code, Fixbug(5H)</t>
  </si>
  <si>
    <t>Dịch NN, Fix bug(3H)</t>
  </si>
  <si>
    <t>Fix bug(3H)</t>
  </si>
  <si>
    <t>Fix bug (4h Done, Pending chờ lience)</t>
  </si>
  <si>
    <t>Không (1 bên chờ/nghỉ)</t>
  </si>
  <si>
    <t>Update KB Ads</t>
  </si>
  <si>
    <t>Build Test, (Peding Fix bug)</t>
  </si>
  <si>
    <t>Add logic Skip inter, Check show rate(4h)</t>
  </si>
  <si>
    <t>Update New UI, Udate KB Ads(4h)</t>
  </si>
  <si>
    <t>Fix impresion (2H)</t>
  </si>
  <si>
    <t>Fix bug(4h)</t>
  </si>
  <si>
    <t>Update Taichi Event(1K)</t>
  </si>
  <si>
    <t>Update Taichi Event(1H)</t>
  </si>
  <si>
    <t>Fix bug(5H)</t>
  </si>
  <si>
    <t>Update Taichi Event</t>
  </si>
  <si>
    <t>Check show rate, Fix impression</t>
  </si>
  <si>
    <t>Remove Read Media, Fix bug(4H)</t>
  </si>
  <si>
    <t>Build apk chờ Mo test</t>
  </si>
  <si>
    <t>Chuyển luồng load ad(3H)</t>
  </si>
  <si>
    <t>Check show rate, fix impression(5h)</t>
  </si>
  <si>
    <t>Add UI, Chang Resouce Name, Update Remote Config(4h)</t>
  </si>
  <si>
    <t>Fix logic start lang loading(2H)</t>
  </si>
  <si>
    <t>Add KB Ads(5H)((Build 16H30)</t>
  </si>
  <si>
    <t>Fix bug(Build 10H)(Wip Add Ads)</t>
  </si>
  <si>
    <t>Fix show rate (2H)</t>
  </si>
  <si>
    <t>Init Module, Change Res name, Update Ui</t>
  </si>
  <si>
    <t>Add Ads, Fix bug</t>
  </si>
  <si>
    <t>Fix chi so, Fix event tracking</t>
  </si>
  <si>
    <t>Nghiêm cứu API, Build Api cho PO Test (2H)</t>
  </si>
  <si>
    <t>Fix bug (1H) (Wait Mo Test)</t>
  </si>
  <si>
    <t>Add logic skip Inter, check Crash, Fox bug(5h)</t>
  </si>
  <si>
    <t>Thêm Anchor Banner</t>
  </si>
  <si>
    <t>Thêm Api, Thêm Home UI</t>
  </si>
  <si>
    <t>Add UfoAds Build Test</t>
  </si>
  <si>
    <t>On HF in code</t>
  </si>
  <si>
    <t>Build Test, Fix bug(5H)</t>
  </si>
  <si>
    <t>New Flow Ui (2H)</t>
  </si>
  <si>
    <t>Apply ver mới Stuck ở splash-&gt; peding hỏi đối tác(1H)</t>
  </si>
  <si>
    <t>(10h đối tac phản hồi apply và check bị crash -&gt; hỏi tích hơp 11 h30)</t>
  </si>
  <si>
    <t>New form ads, Add event, update permission, new logic ufo</t>
  </si>
  <si>
    <t>Add new Ui, Language (4H)</t>
  </si>
  <si>
    <t>Build (9h30) (no fix bug)</t>
  </si>
  <si>
    <t>Apply code new version,update resource id (4H)</t>
  </si>
  <si>
    <t>Add logic AutoSkip, Fix show rate (4H) (Build test)</t>
  </si>
  <si>
    <t>Add Ui Home, Compass feature, UI Screen Light (4H)</t>
  </si>
  <si>
    <t>Add UI, Add First Flow Sdk, Add Sub</t>
  </si>
  <si>
    <t>Fix bug (9H -&gt; 9H30) Peding wait MO test</t>
  </si>
  <si>
    <t>Fix bug (2H)(11H -&gt; 14H 30)</t>
  </si>
  <si>
    <t>Fix bug (2H (9H -&gt; 11H) Build 15h30)</t>
  </si>
  <si>
    <t>Init Compose Project, Ufo (15h Start)</t>
  </si>
  <si>
    <t>Add Logic auto back app</t>
  </si>
  <si>
    <t>Fix bug, Build Product Wait Test</t>
  </si>
  <si>
    <t>Build Test (10H) Wait test</t>
  </si>
  <si>
    <t>Init compose ads, Ufo ad, Native In App</t>
  </si>
  <si>
    <t>Add new logic Native Close, Update native in app, change api</t>
  </si>
  <si>
    <t>Fix bug ads</t>
  </si>
  <si>
    <t>Check ad Skip InterSplash, Build Test (17h45)</t>
  </si>
  <si>
    <t>Peding Wip OA1734</t>
  </si>
  <si>
    <t>Fix bug, Build Apk(Mo pass 08/05, Ad OB No fill waiting check ads)</t>
  </si>
  <si>
    <t>Add new Api, Fix crash, Add</t>
  </si>
  <si>
    <t>Remove new Flow Ufo, Add New ad logic</t>
  </si>
  <si>
    <t>Build (9H40) Fix bug, Check Api Return ( Waiting MO Test)</t>
  </si>
  <si>
    <t>Update Sdk (15H Start)</t>
  </si>
  <si>
    <t>Add Logic OB Build( 14H) , Fix bug</t>
  </si>
  <si>
    <t>Init Ads, Feature Ads, Rate</t>
  </si>
  <si>
    <t>Mo return Feedback Pending Wip OA1775</t>
  </si>
  <si>
    <t>Noti lock Screen, 10H Build Wait Mo Test( 15h30 Done Wait Facebook App Id)</t>
  </si>
  <si>
    <t>10H fix bug -&gt;10h30 Build Wait test</t>
  </si>
  <si>
    <t>Fix drop user, Add new UI</t>
  </si>
  <si>
    <t>Update KB Ads, Fix Chỉ số, Thêm Noti (Wip 4H 18H Build) Build Sign Apk</t>
  </si>
  <si>
    <t>Check Ads Not Fill In List-&gt; Update Logic Ads In List, Check Impression In App, Build Sign Apk Tester Pass</t>
  </si>
  <si>
    <t>Fix crash, Update Kb Ads, Add logic Auto next( 11h &gt; 16H)</t>
  </si>
  <si>
    <t>Fix crash (11 h Build), 17H (18h 30 Fix bug)</t>
  </si>
  <si>
    <t>Fix crash, Add Turn over ads</t>
  </si>
  <si>
    <t>Fix bug(9-&gt;10h30) Build, Wait test( Test + MO nghỉ)</t>
  </si>
  <si>
    <t>Fix impression</t>
  </si>
  <si>
    <t>Init Ads, Ufo Ad, Remove not use Res</t>
  </si>
  <si>
    <t>Fĩx bug Build Sign 14H Test past Tester</t>
  </si>
  <si>
    <t>Test pass Build Sign 11H</t>
  </si>
  <si>
    <t>Build 10H (Chờ test vì Test nhiều task ưu tiên app mới), Build Sign Apk</t>
  </si>
  <si>
    <t>Update KB Ads (17H Start)</t>
  </si>
  <si>
    <t>Rate, Noti, Feature Ads, Build 11H, Fix bug + Test Done</t>
  </si>
  <si>
    <t>Start (11H) New language Ui</t>
  </si>
  <si>
    <t>Build (10h), Mo Feeback 18H</t>
  </si>
  <si>
    <t>Add new lang UI, Ad Logic Ads, Fix bug, Build APK</t>
  </si>
  <si>
    <t>Fix bug last ver, 10H Build, Wait Mo Test, Fix bug tester</t>
  </si>
  <si>
    <t>Fix crash, Add logic Auto back, add Skip Inter Build (15H30),Test Pass</t>
  </si>
  <si>
    <t>Add Ads Feature, Build 11H30,Peding Wait Test,</t>
  </si>
  <si>
    <t>Test pass Sign Apk</t>
  </si>
  <si>
    <t>Fix bug, 6H, Tìm hiểu tính năng B269,</t>
  </si>
  <si>
    <t>First Flow, Home UI</t>
  </si>
  <si>
    <t>Fix bug IAP Mo, Finish Test, Wait Adjust IAP,</t>
  </si>
  <si>
    <t>Reels (12H30, 16H khám sức khỏe), Snackbar,</t>
  </si>
  <si>
    <t>Chờ Token</t>
  </si>
  <si>
    <t>Profile, Update profile,collection, search</t>
  </si>
  <si>
    <t>Có Adjust Token, Build, Build Failed Miss,</t>
  </si>
  <si>
    <t>Chat, Profile, Collection, Search</t>
  </si>
  <si>
    <t>Build Sign APK, Test Sign APK, ASO Miss Roll APK</t>
  </si>
  <si>
    <t>Export content, add remote json, update ui,</t>
  </si>
  <si>
    <t>Dialog InApp, Build 11 H Wait Tester</t>
  </si>
  <si>
    <t>Build chờ test (10H build)</t>
  </si>
  <si>
    <t>Chờ tester test, Fix bug &amp; Build Test</t>
  </si>
  <si>
    <t>Mo&amp; Po Pass test</t>
  </si>
  <si>
    <t>Test Pass (14H) Wait ASO Build Product</t>
  </si>
  <si>
    <t>Add Skip Inter, Fix Ads Number, Add Padding text Next</t>
  </si>
  <si>
    <t>Add Native Feature, Inter, Reward Ad, Rate, Noti lock Screen,</t>
  </si>
  <si>
    <t>Build Sign Wait Test Sign</t>
  </si>
  <si>
    <t>Fix crash store(1H), Build test, tester passs</t>
  </si>
  <si>
    <t>Add TurnOverAds, Add Next Gen SDK</t>
  </si>
  <si>
    <t>Mo Passs Build Sign Apk</t>
  </si>
  <si>
    <t>Translate, Build Test(10 Build)</t>
  </si>
  <si>
    <t>(Start 14H30) Fix crash, Add New config feature,</t>
  </si>
  <si>
    <t>Fix Bug Release, Pass test ADS</t>
  </si>
  <si>
    <t>Update Ui Fix policy (Start 11H -&gt; 14H Done)</t>
  </si>
  <si>
    <t>Fix Show Rate, Fix crash, Update Noti,Add Feature Logic, (Start 10H-&gt; 15H ) Test Pass</t>
  </si>
  <si>
    <t>Test Pass (11H), (Store hết mạng)</t>
  </si>
  <si>
    <t>Update Logic ADS, Fix bug Old Versin, Add New Config Home UI</t>
  </si>
  <si>
    <t>Update UI IAP (11H 30 Build Test), Nghỉ chiều</t>
  </si>
  <si>
    <t>Store Off</t>
  </si>
  <si>
    <t>Remove Sub</t>
  </si>
  <si>
    <t>Init Project, Change Res Name, Add Ui</t>
  </si>
  <si>
    <t>Fix crash, Update next gen sdk</t>
  </si>
  <si>
    <t>Build, Fix bug Done, Wait FB App ID</t>
  </si>
  <si>
    <t>CÁC LỖI GÕ NGÀY/THÁNG ĐÃ PHÁT HIỆN VÀ SỬA TRONG LOG GỐC</t>
  </si>
  <si>
    <t>Đã đối chiếu với khoảng ngày mở (start-end) của từng task để xác nhận và sửa trực tiếp trong cột Log chi tiết ở sheet "Dữ liệu chi tiết".</t>
  </si>
  <si>
    <t>App</t>
  </si>
  <si>
    <t>Ngày gốc (nghi sai)</t>
  </si>
  <si>
    <t>Đã sửa thành</t>
  </si>
  <si>
    <t>Căn cứ xác nhận</t>
  </si>
  <si>
    <t>11/04</t>
  </si>
  <si>
    <t>11/06</t>
  </si>
  <si>
    <t>Nằm giữa log 10/06 và 12/06, task diễn ra trong tháng 06</t>
  </si>
  <si>
    <t>25/04, 26/04</t>
  </si>
  <si>
    <t>25/05, 26/05</t>
  </si>
  <si>
    <t>Task có start/end nằm trong tháng 05 (20-26/05)</t>
  </si>
  <si>
    <t>Task có start/end nằm trong tháng 05 (18-26/05)</t>
  </si>
  <si>
    <t>29/10, 30/10</t>
  </si>
  <si>
    <t>29/01, 30/01</t>
  </si>
  <si>
    <t>Task có start/end nằm trong tháng 01 (29/01-02/02)</t>
  </si>
  <si>
    <t>(06/10)</t>
  </si>
  <si>
    <t>(06/02)</t>
  </si>
  <si>
    <t>Task có start/end nằm trong tháng 02 (04-11/02)</t>
  </si>
  <si>
    <t>30/02</t>
  </si>
  <si>
    <t>30/03</t>
  </si>
  <si>
    <t>Tháng 2 không có ngày 30; task có start/end 27/03-03/04</t>
  </si>
  <si>
    <t>19/19</t>
  </si>
  <si>
    <t>19/06</t>
  </si>
  <si>
    <t>Định dạng "dd/mm" không hợp lệ; task diễn ra 19/06</t>
  </si>
  <si>
    <t>13/04, 14/10</t>
  </si>
  <si>
    <t>13/05, 14/05</t>
  </si>
  <si>
    <t>Task có start/end là 13-14/05</t>
  </si>
  <si>
    <t>25/05, 26/02</t>
  </si>
  <si>
    <t>25/06, 26/06</t>
  </si>
  <si>
    <t>Task có start/end là 25-26/06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</si>
</sst>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30">
    <font>
      <sz val="11"/>
      <color theme="1"/>
      <name val="Calibri"/>
      <charset val="1"/>
    </font>
    <font>
      <b/>
      <sz val="14"/>
      <color rgb="FF1F4E78"/>
      <name val="Arial"/>
      <charset val="1"/>
    </font>
    <font>
      <i/>
      <sz val="10"/>
      <color rgb="FF808080"/>
      <name val="Arial"/>
      <charset val="1"/>
    </font>
    <font>
      <b/>
      <sz val="11"/>
      <color rgb="FFFFFFFF"/>
      <name val="Arial"/>
      <charset val="1"/>
    </font>
    <font>
      <sz val="10"/>
      <name val="Arial"/>
      <charset val="1"/>
    </font>
    <font>
      <sz val="9"/>
      <color rgb="FF595959"/>
      <name val="Arial"/>
      <charset val="1"/>
    </font>
    <font>
      <b/>
      <sz val="16"/>
      <color rgb="FF1F4E78"/>
      <name val="Arial"/>
      <charset val="1"/>
    </font>
    <font>
      <i/>
      <sz val="9"/>
      <color rgb="FFC0504D"/>
      <name val="Arial"/>
      <charset val="1"/>
    </font>
    <font>
      <b/>
      <sz val="11"/>
      <color rgb="FF1F4E78"/>
      <name val="Arial"/>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1F4E78"/>
        <bgColor rgb="FF003366"/>
      </patternFill>
    </fill>
    <fill>
      <patternFill patternType="solid">
        <fgColor rgb="FFE2EFDA"/>
        <bgColor rgb="FFEAF1FA"/>
      </patternFill>
    </fill>
    <fill>
      <patternFill patternType="solid">
        <fgColor rgb="FFFCE4E4"/>
        <bgColor rgb="FFFFF2CC"/>
      </patternFill>
    </fill>
    <fill>
      <patternFill patternType="solid">
        <fgColor rgb="FFEAF1FA"/>
        <bgColor rgb="FFE2EFDA"/>
      </patternFill>
    </fill>
    <fill>
      <patternFill patternType="solid">
        <fgColor rgb="FFFFF2CC"/>
        <bgColor rgb="FFFCE4E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D9D9D9"/>
      </left>
      <right style="thin">
        <color rgb="FFD9D9D9"/>
      </right>
      <top style="thin">
        <color rgb="FFD9D9D9"/>
      </top>
      <bottom style="thin">
        <color rgb="FFD9D9D9"/>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9" fillId="0" borderId="0" applyBorder="0" applyAlignment="0" applyProtection="0"/>
    <xf numFmtId="44" fontId="9" fillId="0" borderId="0" applyBorder="0" applyAlignment="0" applyProtection="0"/>
    <xf numFmtId="9" fontId="9" fillId="0" borderId="0" applyBorder="0" applyAlignment="0" applyProtection="0"/>
    <xf numFmtId="41" fontId="9" fillId="0" borderId="0" applyBorder="0" applyAlignment="0" applyProtection="0"/>
    <xf numFmtId="42" fontId="9" fillId="0" borderId="0" applyBorder="0" applyAlignment="0" applyProtection="0"/>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7" borderId="3"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4" applyNumberFormat="0" applyFill="0" applyAlignment="0" applyProtection="0">
      <alignment vertical="center"/>
    </xf>
    <xf numFmtId="0" fontId="17" fillId="0" borderId="4" applyNumberFormat="0" applyFill="0" applyAlignment="0" applyProtection="0">
      <alignment vertical="center"/>
    </xf>
    <xf numFmtId="0" fontId="18" fillId="0" borderId="5" applyNumberFormat="0" applyFill="0" applyAlignment="0" applyProtection="0">
      <alignment vertical="center"/>
    </xf>
    <xf numFmtId="0" fontId="18" fillId="0" borderId="0" applyNumberFormat="0" applyFill="0" applyBorder="0" applyAlignment="0" applyProtection="0">
      <alignment vertical="center"/>
    </xf>
    <xf numFmtId="0" fontId="19" fillId="8" borderId="6" applyNumberFormat="0" applyAlignment="0" applyProtection="0">
      <alignment vertical="center"/>
    </xf>
    <xf numFmtId="0" fontId="20" fillId="9" borderId="7" applyNumberFormat="0" applyAlignment="0" applyProtection="0">
      <alignment vertical="center"/>
    </xf>
    <xf numFmtId="0" fontId="21" fillId="9" borderId="6" applyNumberFormat="0" applyAlignment="0" applyProtection="0">
      <alignment vertical="center"/>
    </xf>
    <xf numFmtId="0" fontId="22" fillId="10" borderId="8" applyNumberFormat="0" applyAlignment="0" applyProtection="0">
      <alignment vertical="center"/>
    </xf>
    <xf numFmtId="0" fontId="23" fillId="0" borderId="9" applyNumberFormat="0" applyFill="0" applyAlignment="0" applyProtection="0">
      <alignment vertical="center"/>
    </xf>
    <xf numFmtId="0" fontId="24" fillId="0" borderId="10" applyNumberFormat="0" applyFill="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28" fillId="37" borderId="0" applyNumberFormat="0" applyBorder="0" applyAlignment="0" applyProtection="0">
      <alignment vertical="center"/>
    </xf>
  </cellStyleXfs>
  <cellXfs count="29">
    <xf numFmtId="0" fontId="0" fillId="0" borderId="0" xfId="0"/>
    <xf numFmtId="0" fontId="0" fillId="0" borderId="0" xfId="0" applyAlignment="1"/>
    <xf numFmtId="0" fontId="1" fillId="0" borderId="0" xfId="0" applyFont="1" applyAlignment="1"/>
    <xf numFmtId="0" fontId="2" fillId="0" borderId="0" xfId="0" applyFont="1" applyBorder="1" applyAlignment="1"/>
    <xf numFmtId="0" fontId="3" fillId="2" borderId="1" xfId="0" applyFont="1" applyFill="1" applyBorder="1" applyAlignment="1">
      <alignment horizontal="center" vertical="center" wrapText="1"/>
    </xf>
    <xf numFmtId="0" fontId="4" fillId="0" borderId="1" xfId="0" applyFont="1" applyBorder="1" applyAlignment="1">
      <alignment horizontal="left" vertical="center" wrapText="1"/>
    </xf>
    <xf numFmtId="58" fontId="4" fillId="0" borderId="1" xfId="0" applyNumberFormat="1"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4"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0" borderId="1" xfId="0" applyFont="1" applyBorder="1" applyAlignment="1"/>
    <xf numFmtId="0" fontId="4" fillId="0" borderId="1" xfId="0" applyFont="1" applyBorder="1" applyAlignment="1">
      <alignment vertical="top" wrapText="1"/>
    </xf>
    <xf numFmtId="0" fontId="0" fillId="0" borderId="2" xfId="0" applyBorder="1" applyAlignment="1"/>
    <xf numFmtId="0" fontId="1" fillId="0" borderId="2" xfId="0" applyFont="1" applyBorder="1" applyAlignment="1"/>
    <xf numFmtId="0" fontId="2" fillId="0" borderId="2" xfId="0" applyFont="1" applyBorder="1" applyAlignment="1"/>
    <xf numFmtId="0" fontId="5" fillId="5" borderId="2" xfId="0" applyFont="1" applyFill="1" applyBorder="1" applyAlignment="1">
      <alignment horizontal="center" vertical="center"/>
    </xf>
    <xf numFmtId="0" fontId="5" fillId="0" borderId="2" xfId="0" applyFont="1" applyBorder="1" applyAlignment="1">
      <alignment horizontal="center" vertical="center"/>
    </xf>
    <xf numFmtId="0" fontId="0" fillId="0" borderId="2" xfId="0" applyBorder="1" applyAlignment="1">
      <alignment horizontal="center" vertical="center"/>
    </xf>
    <xf numFmtId="0" fontId="6" fillId="5" borderId="2" xfId="0" applyFont="1" applyFill="1" applyBorder="1" applyAlignment="1">
      <alignment horizontal="center" vertical="center"/>
    </xf>
    <xf numFmtId="0" fontId="7" fillId="0" borderId="2" xfId="0" applyFont="1" applyBorder="1" applyAlignment="1">
      <alignment horizontal="center" vertical="center"/>
    </xf>
    <xf numFmtId="0" fontId="8" fillId="0" borderId="2" xfId="0" applyFont="1" applyBorder="1" applyAlignment="1"/>
    <xf numFmtId="0" fontId="5" fillId="6" borderId="2" xfId="0" applyFont="1" applyFill="1" applyBorder="1" applyAlignment="1">
      <alignment horizontal="center" vertical="center"/>
    </xf>
    <xf numFmtId="0" fontId="6" fillId="6" borderId="2" xfId="0" applyFont="1" applyFill="1" applyBorder="1" applyAlignment="1">
      <alignment horizontal="center" vertical="center"/>
    </xf>
    <xf numFmtId="9" fontId="6" fillId="6" borderId="2" xfId="0" applyNumberFormat="1" applyFont="1" applyFill="1" applyBorder="1" applyAlignment="1">
      <alignment horizontal="center" vertical="center"/>
    </xf>
    <xf numFmtId="0" fontId="3" fillId="2" borderId="2" xfId="0" applyFont="1" applyFill="1" applyBorder="1" applyAlignment="1">
      <alignment horizontal="center" vertical="center"/>
    </xf>
    <xf numFmtId="0" fontId="4" fillId="0" borderId="2" xfId="0" applyFont="1" applyBorder="1" applyAlignment="1">
      <alignment horizontal="left"/>
    </xf>
    <xf numFmtId="0" fontId="4" fillId="0" borderId="2" xfId="0" applyFont="1" applyBorder="1" applyAlignment="1">
      <alignment horizontal="center"/>
    </xf>
    <xf numFmtId="2" fontId="0" fillId="0" borderId="2" xfId="0" applyNumberFormat="1" applyBorder="1"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C0504D"/>
      <rgbColor rgb="00FFF2CC"/>
      <rgbColor rgb="00EAF1FA"/>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CCFFFF"/>
      <rgbColor rgb="00E2EFDA"/>
      <rgbColor rgb="00FFFF99"/>
      <rgbColor rgb="0099CCFF"/>
      <rgbColor rgb="00FF99CC"/>
      <rgbColor rgb="00CC99FF"/>
      <rgbColor rgb="00FCE4E4"/>
      <rgbColor rgb="004F81BD"/>
      <rgbColor rgb="0033CCCC"/>
      <rgbColor rgb="0099CC00"/>
      <rgbColor rgb="00FFCC00"/>
      <rgbColor rgb="00FF9900"/>
      <rgbColor rgb="00FF6600"/>
      <rgbColor rgb="00595959"/>
      <rgbColor rgb="00878787"/>
      <rgbColor rgb="00003366"/>
      <rgbColor rgb="00339966"/>
      <rgbColor rgb="00003300"/>
      <rgbColor rgb="00333300"/>
      <rgbColor rgb="00993300"/>
      <rgbColor rgb="00993366"/>
      <rgbColor rgb="001F4E78"/>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spc="-1" baseline="0">
                <a:solidFill>
                  <a:srgbClr val="000000"/>
                </a:solidFill>
                <a:latin typeface="Calibri"/>
                <a:ea typeface="+mn-ea"/>
                <a:cs typeface="+mn-cs"/>
              </a:defRPr>
            </a:pPr>
            <a:r>
              <a:rPr sz="1800" b="1" strike="noStrike" spc="-1">
                <a:solidFill>
                  <a:srgbClr val="000000"/>
                </a:solidFill>
                <a:latin typeface="Calibri"/>
              </a:rPr>
              <a:t>Ngày công việc theo nhóm (cộng dồn)</a:t>
            </a:r>
            <a:endParaRPr sz="1800" b="1" strike="noStrike" spc="-1">
              <a:solidFill>
                <a:srgbClr val="000000"/>
              </a:solidFill>
              <a:latin typeface="Calibri"/>
            </a:endParaRPr>
          </a:p>
        </c:rich>
      </c:tx>
      <c:layout/>
      <c:overlay val="0"/>
      <c:spPr>
        <a:noFill/>
        <a:ln w="0">
          <a:noFill/>
        </a:ln>
      </c:spPr>
    </c:title>
    <c:autoTitleDeleted val="0"/>
    <c:plotArea>
      <c:layout/>
      <c:barChart>
        <c:barDir val="col"/>
        <c:grouping val="clustered"/>
        <c:varyColors val="0"/>
        <c:ser>
          <c:idx val="0"/>
          <c:order val="0"/>
          <c:tx>
            <c:strRef>
              <c:f>'Tổng quan'!$E$14</c:f>
              <c:strCache>
                <c:ptCount val="1"/>
                <c:pt idx="0">
                  <c:v>Ngày công việc (cộng dồn)</c:v>
                </c:pt>
              </c:strCache>
            </c:strRef>
          </c:tx>
          <c:spPr>
            <a:solidFill>
              <a:srgbClr val="4F81BD"/>
            </a:solidFill>
            <a:ln w="0">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9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'Tổng quan'!$B$15:$B$22</c:f>
              <c:strCache>
                <c:ptCount val="8"/>
                <c:pt idx="0">
                  <c:v>Làm app mới</c:v>
                </c:pt>
                <c:pt idx="1">
                  <c:v>Fix Policy</c:v>
                </c:pt>
                <c:pt idx="2">
                  <c:v>Fix chỉ số ads</c:v>
                </c:pt>
                <c:pt idx="3">
                  <c:v>Gắn quảng cáo / Ads</c:v>
                </c:pt>
                <c:pt idx="4">
                  <c:v>Kịch bản MO</c:v>
                </c:pt>
                <c:pt idx="5">
                  <c:v>Fix crash</c:v>
                </c:pt>
                <c:pt idx="6">
                  <c:v>Tính năng mới / IAP</c:v>
                </c:pt>
                <c:pt idx="7">
                  <c:v>SDK</c:v>
                </c:pt>
              </c:strCache>
            </c:strRef>
          </c:cat>
          <c:val>
            <c:numRef>
              <c:f>'Tổng quan'!$E$15:$E$22</c:f>
              <c:numCache>
                <c:formatCode>General</c:formatCode>
                <c:ptCount val="8"/>
                <c:pt idx="0">
                  <c:v>36</c:v>
                </c:pt>
                <c:pt idx="1">
                  <c:v>2</c:v>
                </c:pt>
                <c:pt idx="2">
                  <c:v>42</c:v>
                </c:pt>
                <c:pt idx="3">
                  <c:v>33</c:v>
                </c:pt>
                <c:pt idx="4">
                  <c:v>29</c:v>
                </c:pt>
                <c:pt idx="5">
                  <c:v>15</c:v>
                </c:pt>
                <c:pt idx="6">
                  <c:v>40</c:v>
                </c:pt>
                <c:pt idx="7">
                  <c:v>6</c:v>
                </c:pt>
              </c:numCache>
            </c:numRef>
          </c:val>
        </c:ser>
        <c:dLbls>
          <c:showLegendKey val="0"/>
          <c:showVal val="0"/>
          <c:showCatName val="0"/>
          <c:showSerName val="0"/>
          <c:showPercent val="0"/>
          <c:showBubbleSize val="1"/>
        </c:dLbls>
        <c:gapWidth val="150"/>
        <c:overlap val="0"/>
        <c:axId val="14587780"/>
        <c:axId val="18279155"/>
      </c:barChart>
      <c:catAx>
        <c:axId val="14587780"/>
        <c:scaling>
          <c:orientation val="minMax"/>
        </c:scaling>
        <c:delete val="0"/>
        <c:axPos val="b"/>
        <c:numFmt formatCode="General" sourceLinked="0"/>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a:ea typeface="+mn-ea"/>
                <a:cs typeface="+mn-cs"/>
              </a:defRPr>
            </a:pPr>
          </a:p>
        </c:txPr>
        <c:crossAx val="18279155"/>
        <c:crosses val="autoZero"/>
        <c:auto val="1"/>
        <c:lblAlgn val="ctr"/>
        <c:lblOffset val="100"/>
        <c:noMultiLvlLbl val="0"/>
      </c:catAx>
      <c:valAx>
        <c:axId val="18279155"/>
        <c:scaling>
          <c:orientation val="minMax"/>
        </c:scaling>
        <c:delete val="0"/>
        <c:axPos val="l"/>
        <c:majorGridlines>
          <c:spPr>
            <a:ln w="9360" cap="flat" cmpd="sng" algn="ctr">
              <a:solidFill>
                <a:srgbClr val="878787"/>
              </a:solidFill>
              <a:prstDash val="solid"/>
              <a:round/>
            </a:ln>
          </c:spPr>
        </c:majorGridlines>
        <c:title>
          <c:tx>
            <c:rich>
              <a:bodyPr rot="-5400000" spcFirstLastPara="0" vertOverflow="ellipsis" vert="horz" wrap="square" anchor="ctr" anchorCtr="1"/>
              <a:lstStyle/>
              <a:p>
                <a:pPr>
                  <a:defRPr lang="en-US" sz="1000" b="1" i="0" u="none" strike="noStrike" kern="1200" spc="-1" baseline="0">
                    <a:solidFill>
                      <a:srgbClr val="000000"/>
                    </a:solidFill>
                    <a:latin typeface="Calibri"/>
                    <a:ea typeface="+mn-ea"/>
                    <a:cs typeface="+mn-cs"/>
                  </a:defRPr>
                </a:pPr>
                <a:r>
                  <a:rPr sz="1000" b="1" strike="noStrike" spc="-1">
                    <a:solidFill>
                      <a:srgbClr val="000000"/>
                    </a:solidFill>
                    <a:latin typeface="Calibri"/>
                  </a:rPr>
                  <a:t>Ngày</a:t>
                </a:r>
                <a:endParaRPr sz="1000" b="1" strike="noStrike" spc="-1">
                  <a:solidFill>
                    <a:srgbClr val="000000"/>
                  </a:solidFill>
                  <a:latin typeface="Calibri"/>
                </a:endParaRPr>
              </a:p>
            </c:rich>
          </c:tx>
          <c:layout/>
          <c:overlay val="0"/>
          <c:spPr>
            <a:noFill/>
            <a:ln w="0">
              <a:noFill/>
            </a:ln>
          </c:spPr>
        </c:title>
        <c:numFmt formatCode="General" sourceLinked="0"/>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a:ea typeface="+mn-ea"/>
                <a:cs typeface="+mn-cs"/>
              </a:defRPr>
            </a:pPr>
          </a:p>
        </c:txPr>
        <c:crossAx val="14587780"/>
        <c:crosses val="autoZero"/>
        <c:crossBetween val="between"/>
      </c:valAx>
      <c:spPr>
        <a:noFill/>
        <a:ln w="0">
          <a:noFill/>
        </a:ln>
      </c:spPr>
    </c:plotArea>
    <c:plotVisOnly val="1"/>
    <c:dispBlanksAs val="gap"/>
    <c:showDLblsOverMax val="0"/>
    <c:extLst>
      <c:ext uri="{0b15fc19-7d7d-44ad-8c2d-2c3a37ce22c3}">
        <chartProps xmlns="https://web.wps.cn/et/2018/main" chartId="{db522915-cf25-4e5e-aece-ae79acb96152}"/>
      </c:ext>
    </c:extLst>
  </c:chart>
  <c:spPr>
    <a:solidFill>
      <a:srgbClr val="FFFFFF"/>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spc="-1" baseline="0">
                <a:solidFill>
                  <a:srgbClr val="000000"/>
                </a:solidFill>
                <a:latin typeface="Calibri"/>
                <a:ea typeface="+mn-ea"/>
                <a:cs typeface="+mn-cs"/>
              </a:defRPr>
            </a:pPr>
            <a:r>
              <a:rPr sz="1800" b="1" strike="noStrike" spc="-1">
                <a:solidFill>
                  <a:srgbClr val="000000"/>
                </a:solidFill>
                <a:latin typeface="Calibri"/>
              </a:rPr>
              <a:t>Số task &amp; ngày công việc theo tháng</a:t>
            </a:r>
            <a:endParaRPr sz="1800" b="1" strike="noStrike" spc="-1">
              <a:solidFill>
                <a:srgbClr val="000000"/>
              </a:solidFill>
              <a:latin typeface="Calibri"/>
            </a:endParaRPr>
          </a:p>
        </c:rich>
      </c:tx>
      <c:layout/>
      <c:overlay val="0"/>
      <c:spPr>
        <a:noFill/>
        <a:ln w="0">
          <a:noFill/>
        </a:ln>
      </c:spPr>
    </c:title>
    <c:autoTitleDeleted val="0"/>
    <c:plotArea>
      <c:layout/>
      <c:barChart>
        <c:barDir val="col"/>
        <c:grouping val="clustered"/>
        <c:varyColors val="0"/>
        <c:ser>
          <c:idx val="0"/>
          <c:order val="0"/>
          <c:tx>
            <c:strRef>
              <c:f>'Tổng quan'!$C$26</c:f>
              <c:strCache>
                <c:ptCount val="1"/>
                <c:pt idx="0">
                  <c:v>Số task</c:v>
                </c:pt>
              </c:strCache>
            </c:strRef>
          </c:tx>
          <c:spPr>
            <a:solidFill>
              <a:srgbClr val="4F81BD"/>
            </a:solidFill>
            <a:ln w="0">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9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'Tổng quan'!$B$27:$B$32</c:f>
              <c:strCache>
                <c:ptCount val="6"/>
                <c:pt idx="0">
                  <c:v>Tháng 1</c:v>
                </c:pt>
                <c:pt idx="1">
                  <c:v>Tháng 2</c:v>
                </c:pt>
                <c:pt idx="2">
                  <c:v>Tháng 3</c:v>
                </c:pt>
                <c:pt idx="3">
                  <c:v>Tháng 4</c:v>
                </c:pt>
                <c:pt idx="4">
                  <c:v>Tháng 5</c:v>
                </c:pt>
                <c:pt idx="5">
                  <c:v>Tháng 6</c:v>
                </c:pt>
              </c:strCache>
            </c:strRef>
          </c:cat>
          <c:val>
            <c:numRef>
              <c:f>'Tổng quan'!$C$27:$C$32</c:f>
              <c:numCache>
                <c:formatCode>General</c:formatCode>
                <c:ptCount val="6"/>
                <c:pt idx="0">
                  <c:v>6</c:v>
                </c:pt>
                <c:pt idx="1">
                  <c:v>6</c:v>
                </c:pt>
                <c:pt idx="2">
                  <c:v>20</c:v>
                </c:pt>
                <c:pt idx="3">
                  <c:v>10</c:v>
                </c:pt>
                <c:pt idx="4">
                  <c:v>15</c:v>
                </c:pt>
                <c:pt idx="5">
                  <c:v>16</c:v>
                </c:pt>
              </c:numCache>
            </c:numRef>
          </c:val>
        </c:ser>
        <c:ser>
          <c:idx val="1"/>
          <c:order val="1"/>
          <c:tx>
            <c:strRef>
              <c:f>'Tổng quan'!$D$26</c:f>
              <c:strCache>
                <c:ptCount val="1"/>
                <c:pt idx="0">
                  <c:v>Ngày công việc (cộng dồn)</c:v>
                </c:pt>
              </c:strCache>
            </c:strRef>
          </c:tx>
          <c:spPr>
            <a:solidFill>
              <a:srgbClr val="C0504D"/>
            </a:solidFill>
            <a:ln w="0">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9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'Tổng quan'!$B$27:$B$32</c:f>
              <c:strCache>
                <c:ptCount val="6"/>
                <c:pt idx="0">
                  <c:v>Tháng 1</c:v>
                </c:pt>
                <c:pt idx="1">
                  <c:v>Tháng 2</c:v>
                </c:pt>
                <c:pt idx="2">
                  <c:v>Tháng 3</c:v>
                </c:pt>
                <c:pt idx="3">
                  <c:v>Tháng 4</c:v>
                </c:pt>
                <c:pt idx="4">
                  <c:v>Tháng 5</c:v>
                </c:pt>
                <c:pt idx="5">
                  <c:v>Tháng 6</c:v>
                </c:pt>
              </c:strCache>
            </c:strRef>
          </c:cat>
          <c:val>
            <c:numRef>
              <c:f>'Tổng quan'!$D$27:$D$32</c:f>
              <c:numCache>
                <c:formatCode>General</c:formatCode>
                <c:ptCount val="6"/>
                <c:pt idx="0">
                  <c:v>18</c:v>
                </c:pt>
                <c:pt idx="1">
                  <c:v>25</c:v>
                </c:pt>
                <c:pt idx="2">
                  <c:v>47</c:v>
                </c:pt>
                <c:pt idx="3">
                  <c:v>29</c:v>
                </c:pt>
                <c:pt idx="4">
                  <c:v>38</c:v>
                </c:pt>
                <c:pt idx="5">
                  <c:v>45</c:v>
                </c:pt>
              </c:numCache>
            </c:numRef>
          </c:val>
        </c:ser>
        <c:dLbls>
          <c:showLegendKey val="0"/>
          <c:showVal val="0"/>
          <c:showCatName val="0"/>
          <c:showSerName val="0"/>
          <c:showPercent val="0"/>
          <c:showBubbleSize val="1"/>
        </c:dLbls>
        <c:gapWidth val="150"/>
        <c:overlap val="0"/>
        <c:axId val="16673812"/>
        <c:axId val="26475916"/>
      </c:barChart>
      <c:catAx>
        <c:axId val="16673812"/>
        <c:scaling>
          <c:orientation val="minMax"/>
        </c:scaling>
        <c:delete val="0"/>
        <c:axPos val="b"/>
        <c:numFmt formatCode="General" sourceLinked="0"/>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a:ea typeface="+mn-ea"/>
                <a:cs typeface="+mn-cs"/>
              </a:defRPr>
            </a:pPr>
          </a:p>
        </c:txPr>
        <c:crossAx val="26475916"/>
        <c:crosses val="autoZero"/>
        <c:auto val="1"/>
        <c:lblAlgn val="ctr"/>
        <c:lblOffset val="100"/>
        <c:noMultiLvlLbl val="0"/>
      </c:catAx>
      <c:valAx>
        <c:axId val="26475916"/>
        <c:scaling>
          <c:orientation val="minMax"/>
        </c:scaling>
        <c:delete val="0"/>
        <c:axPos val="l"/>
        <c:majorGridlines>
          <c:spPr>
            <a:ln w="9360" cap="flat" cmpd="sng" algn="ctr">
              <a:solidFill>
                <a:srgbClr val="878787"/>
              </a:solidFill>
              <a:prstDash val="solid"/>
              <a:round/>
            </a:ln>
          </c:spPr>
        </c:majorGridlines>
        <c:title>
          <c:tx>
            <c:rich>
              <a:bodyPr rot="-5400000" spcFirstLastPara="0" vertOverflow="ellipsis" vert="horz" wrap="square" anchor="ctr" anchorCtr="1"/>
              <a:lstStyle/>
              <a:p>
                <a:pPr>
                  <a:defRPr lang="en-US" sz="1000" b="1" i="0" u="none" strike="noStrike" kern="1200" spc="-1" baseline="0">
                    <a:solidFill>
                      <a:srgbClr val="000000"/>
                    </a:solidFill>
                    <a:latin typeface="Calibri"/>
                    <a:ea typeface="+mn-ea"/>
                    <a:cs typeface="+mn-cs"/>
                  </a:defRPr>
                </a:pPr>
                <a:r>
                  <a:rPr sz="1000" b="1" strike="noStrike" spc="-1">
                    <a:solidFill>
                      <a:srgbClr val="000000"/>
                    </a:solidFill>
                    <a:latin typeface="Calibri"/>
                  </a:rPr>
                  <a:t>Số lượng</a:t>
                </a:r>
                <a:endParaRPr sz="1000" b="1" strike="noStrike" spc="-1">
                  <a:solidFill>
                    <a:srgbClr val="000000"/>
                  </a:solidFill>
                  <a:latin typeface="Calibri"/>
                </a:endParaRPr>
              </a:p>
            </c:rich>
          </c:tx>
          <c:layout/>
          <c:overlay val="0"/>
          <c:spPr>
            <a:noFill/>
            <a:ln w="0">
              <a:noFill/>
            </a:ln>
          </c:spPr>
        </c:title>
        <c:numFmt formatCode="General" sourceLinked="0"/>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a:ea typeface="+mn-ea"/>
                <a:cs typeface="+mn-cs"/>
              </a:defRPr>
            </a:pPr>
          </a:p>
        </c:txPr>
        <c:crossAx val="16673812"/>
        <c:crosses val="autoZero"/>
        <c:crossBetween val="between"/>
      </c:valAx>
      <c:spPr>
        <a:noFill/>
        <a:ln w="0">
          <a:noFill/>
        </a:ln>
      </c:spPr>
    </c:plotArea>
    <c:legend>
      <c:legendPos val="r"/>
      <c:layout/>
      <c:overlay val="0"/>
      <c:spPr>
        <a:noFill/>
        <a:ln w="0">
          <a:noFill/>
        </a:ln>
      </c:spPr>
      <c:txPr>
        <a:bodyPr rot="0" spcFirstLastPara="0" vertOverflow="ellipsis" vert="horz" wrap="square" anchor="ctr" anchorCtr="1"/>
        <a:lstStyle/>
        <a:p>
          <a:pPr>
            <a:defRPr lang="en-US" sz="1000" b="0" i="0" u="none" strike="noStrike" kern="1200" spc="-1" baseline="0">
              <a:solidFill>
                <a:srgbClr val="000000"/>
              </a:solidFill>
              <a:latin typeface="Calibri"/>
              <a:ea typeface="+mn-ea"/>
              <a:cs typeface="+mn-cs"/>
            </a:defRPr>
          </a:pPr>
        </a:p>
      </c:txPr>
    </c:legend>
    <c:plotVisOnly val="1"/>
    <c:dispBlanksAs val="gap"/>
    <c:showDLblsOverMax val="0"/>
    <c:extLst>
      <c:ext uri="{0b15fc19-7d7d-44ad-8c2d-2c3a37ce22c3}">
        <chartProps xmlns="https://web.wps.cn/et/2018/main" chartId="{bd2630df-644f-4207-8fda-13061aa571b6}"/>
      </c:ext>
    </c:extLst>
  </c:chart>
  <c:spPr>
    <a:solidFill>
      <a:srgbClr val="FFFFFF"/>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manualLayout>
          <c:layoutTarget val="inner"/>
          <c:xMode val="edge"/>
          <c:yMode val="edge"/>
          <c:x val="0.0363588390501319"/>
          <c:y val="0.326744186046512"/>
          <c:w val="0.909551451187335"/>
          <c:h val="0.605441860465116"/>
        </c:manualLayout>
      </c:layout>
      <c:barChart>
        <c:barDir val="col"/>
        <c:grouping val="clustered"/>
        <c:varyColors val="0"/>
        <c:ser>
          <c:idx val="0"/>
          <c:order val="0"/>
          <c:spPr>
            <a:solidFill>
              <a:schemeClr val="accent1"/>
            </a:solidFill>
            <a:ln>
              <a:noFill/>
            </a:ln>
            <a:effectLst/>
          </c:spPr>
          <c:invertIfNegative val="0"/>
          <c:dLbls>
            <c:delete val="1"/>
          </c:dLbls>
          <c:cat>
            <c:strRef>
              <c:f>'Tổng quan'!$B$27:$B$32</c:f>
              <c:strCache>
                <c:ptCount val="6"/>
                <c:pt idx="0">
                  <c:v>Tháng 1</c:v>
                </c:pt>
                <c:pt idx="1">
                  <c:v>Tháng 2</c:v>
                </c:pt>
                <c:pt idx="2">
                  <c:v>Tháng 3</c:v>
                </c:pt>
                <c:pt idx="3">
                  <c:v>Tháng 4</c:v>
                </c:pt>
                <c:pt idx="4">
                  <c:v>Tháng 5</c:v>
                </c:pt>
                <c:pt idx="5">
                  <c:v>Tháng 6</c:v>
                </c:pt>
              </c:strCache>
            </c:strRef>
          </c:cat>
          <c:val>
            <c:numRef>
              <c:f>'Tổng quan'!$C$27:$C$32</c:f>
              <c:numCache>
                <c:formatCode>General</c:formatCode>
                <c:ptCount val="6"/>
                <c:pt idx="0">
                  <c:v>6</c:v>
                </c:pt>
                <c:pt idx="1">
                  <c:v>6</c:v>
                </c:pt>
                <c:pt idx="2">
                  <c:v>20</c:v>
                </c:pt>
                <c:pt idx="3">
                  <c:v>10</c:v>
                </c:pt>
                <c:pt idx="4">
                  <c:v>15</c:v>
                </c:pt>
                <c:pt idx="5">
                  <c:v>16</c:v>
                </c:pt>
              </c:numCache>
            </c:numRef>
          </c:val>
        </c:ser>
        <c:dLbls>
          <c:showLegendKey val="0"/>
          <c:showVal val="0"/>
          <c:showCatName val="0"/>
          <c:showSerName val="0"/>
          <c:showPercent val="0"/>
          <c:showBubbleSize val="0"/>
        </c:dLbls>
        <c:gapWidth val="246"/>
        <c:overlap val="-28"/>
        <c:axId val="500606825"/>
        <c:axId val="772496866"/>
      </c:barChart>
      <c:catAx>
        <c:axId val="50060682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72496866"/>
        <c:crosses val="autoZero"/>
        <c:auto val="1"/>
        <c:lblAlgn val="ctr"/>
        <c:lblOffset val="100"/>
        <c:noMultiLvlLbl val="0"/>
      </c:catAx>
      <c:valAx>
        <c:axId val="772496866"/>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00606825"/>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8b94142c-d611-427f-b615-9149cd4c833a}"/>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pieChart>
        <c:varyColors val="1"/>
        <c:ser>
          <c:idx val="0"/>
          <c:order val="0"/>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Pt>
            <c:idx val="3"/>
            <c:bubble3D val="0"/>
            <c:spPr>
              <a:solidFill>
                <a:schemeClr val="accent4"/>
              </a:solidFill>
              <a:ln>
                <a:solidFill>
                  <a:schemeClr val="bg1"/>
                </a:solidFill>
              </a:ln>
              <a:effectLst/>
            </c:spPr>
          </c:dPt>
          <c:dPt>
            <c:idx val="4"/>
            <c:bubble3D val="0"/>
            <c:spPr>
              <a:solidFill>
                <a:schemeClr val="accent5"/>
              </a:solidFill>
              <a:ln>
                <a:solidFill>
                  <a:schemeClr val="bg1"/>
                </a:solidFill>
              </a:ln>
              <a:effectLst/>
            </c:spPr>
          </c:dPt>
          <c:dPt>
            <c:idx val="5"/>
            <c:bubble3D val="0"/>
            <c:spPr>
              <a:solidFill>
                <a:schemeClr val="accent6"/>
              </a:solidFill>
              <a:ln>
                <a:solidFill>
                  <a:schemeClr val="bg1"/>
                </a:solidFill>
              </a:ln>
              <a:effectLst/>
            </c:spPr>
          </c:dPt>
          <c:dLbls>
            <c:delete val="1"/>
          </c:dLbls>
          <c:cat>
            <c:strRef>
              <c:f>'Tổng quan'!$B$27:$B$32</c:f>
              <c:strCache>
                <c:ptCount val="6"/>
                <c:pt idx="0">
                  <c:v>Tháng 1</c:v>
                </c:pt>
                <c:pt idx="1">
                  <c:v>Tháng 2</c:v>
                </c:pt>
                <c:pt idx="2">
                  <c:v>Tháng 3</c:v>
                </c:pt>
                <c:pt idx="3">
                  <c:v>Tháng 4</c:v>
                </c:pt>
                <c:pt idx="4">
                  <c:v>Tháng 5</c:v>
                </c:pt>
                <c:pt idx="5">
                  <c:v>Tháng 6</c:v>
                </c:pt>
              </c:strCache>
            </c:strRef>
          </c:cat>
          <c:val>
            <c:numRef>
              <c:f>'Tổng quan'!$C$27:$C$32</c:f>
              <c:numCache>
                <c:formatCode>General</c:formatCode>
                <c:ptCount val="6"/>
                <c:pt idx="0">
                  <c:v>6</c:v>
                </c:pt>
                <c:pt idx="1">
                  <c:v>6</c:v>
                </c:pt>
                <c:pt idx="2">
                  <c:v>20</c:v>
                </c:pt>
                <c:pt idx="3">
                  <c:v>10</c:v>
                </c:pt>
                <c:pt idx="4">
                  <c:v>15</c:v>
                </c:pt>
                <c:pt idx="5">
                  <c:v>16</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t"/>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c7e7e94-77af-4a37-b9f2-53460256a378}"/>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552450</xdr:colOff>
      <xdr:row>11</xdr:row>
      <xdr:rowOff>29845</xdr:rowOff>
    </xdr:from>
    <xdr:to>
      <xdr:col>13</xdr:col>
      <xdr:colOff>357985</xdr:colOff>
      <xdr:row>24</xdr:row>
      <xdr:rowOff>88960</xdr:rowOff>
    </xdr:to>
    <xdr:graphicFrame>
      <xdr:nvGraphicFramePr>
        <xdr:cNvPr id="2" name="Chart 1"/>
        <xdr:cNvGraphicFramePr/>
      </xdr:nvGraphicFramePr>
      <xdr:xfrm>
        <a:off x="8482330" y="3188335"/>
        <a:ext cx="6602095" cy="290893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552450</xdr:colOff>
      <xdr:row>21</xdr:row>
      <xdr:rowOff>81915</xdr:rowOff>
    </xdr:from>
    <xdr:to>
      <xdr:col>13</xdr:col>
      <xdr:colOff>357985</xdr:colOff>
      <xdr:row>36</xdr:row>
      <xdr:rowOff>34935</xdr:rowOff>
    </xdr:to>
    <xdr:graphicFrame>
      <xdr:nvGraphicFramePr>
        <xdr:cNvPr id="3" name="Chart 2"/>
        <xdr:cNvGraphicFramePr/>
      </xdr:nvGraphicFramePr>
      <xdr:xfrm>
        <a:off x="8482330" y="5473065"/>
        <a:ext cx="6602095" cy="29476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53975</xdr:colOff>
      <xdr:row>33</xdr:row>
      <xdr:rowOff>146685</xdr:rowOff>
    </xdr:from>
    <xdr:to>
      <xdr:col>3</xdr:col>
      <xdr:colOff>973455</xdr:colOff>
      <xdr:row>46</xdr:row>
      <xdr:rowOff>177165</xdr:rowOff>
    </xdr:to>
    <xdr:graphicFrame>
      <xdr:nvGraphicFramePr>
        <xdr:cNvPr id="5" name="Chart 4"/>
        <xdr:cNvGraphicFramePr/>
      </xdr:nvGraphicFramePr>
      <xdr:xfrm>
        <a:off x="53975" y="7892415"/>
        <a:ext cx="4318000" cy="28041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1428750</xdr:colOff>
      <xdr:row>42</xdr:row>
      <xdr:rowOff>169545</xdr:rowOff>
    </xdr:from>
    <xdr:to>
      <xdr:col>9</xdr:col>
      <xdr:colOff>72390</xdr:colOff>
      <xdr:row>56</xdr:row>
      <xdr:rowOff>37465</xdr:rowOff>
    </xdr:to>
    <xdr:graphicFrame>
      <xdr:nvGraphicFramePr>
        <xdr:cNvPr id="7" name="Chart 6"/>
        <xdr:cNvGraphicFramePr/>
      </xdr:nvGraphicFramePr>
      <xdr:xfrm>
        <a:off x="4531360" y="9835515"/>
        <a:ext cx="5736590" cy="28549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880110</xdr:colOff>
      <xdr:row>118</xdr:row>
      <xdr:rowOff>85090</xdr:rowOff>
    </xdr:from>
    <xdr:to>
      <xdr:col>7</xdr:col>
      <xdr:colOff>1202690</xdr:colOff>
      <xdr:row>137</xdr:row>
      <xdr:rowOff>170180</xdr:rowOff>
    </xdr:to>
    <xdr:pic>
      <xdr:nvPicPr>
        <xdr:cNvPr id="2" name="图片 7" descr="主图"/>
        <xdr:cNvPicPr>
          <a:picLocks noChangeAspect="1"/>
        </xdr:cNvPicPr>
      </xdr:nvPicPr>
      <xdr:blipFill>
        <a:blip r:embed="rId1"/>
        <a:stretch>
          <a:fillRect/>
        </a:stretch>
      </xdr:blipFill>
      <xdr:spPr>
        <a:xfrm>
          <a:off x="1042670" y="2376805"/>
          <a:ext cx="7556500" cy="4138930"/>
        </a:xfrm>
        <a:prstGeom prst="rect">
          <a:avLst/>
        </a:prstGeom>
      </xdr:spPr>
    </xdr:pic>
    <xdr:clientData/>
  </xdr:twoCellAnchor>
</xdr:wsDr>
</file>

<file path=xl/tables/table1.xml><?xml version="1.0" encoding="utf-8"?>
<table xmlns="http://schemas.openxmlformats.org/spreadsheetml/2006/main" id="1" name="DuLieuChiTiet" displayName="DuLieuChiTiet" ref="A1:R74" totalsRowShown="0">
  <autoFilter xmlns:etc="http://www.wps.cn/officeDocument/2017/etCustomData" ref="A1:R74" etc:filterBottomFollowUsedRange="0">
    <filterColumn colId="8">
      <customFilters>
        <customFilter operator="equal" val="X"/>
      </customFilters>
    </filterColumn>
  </autoFilter>
  <tableColumns count="18">
    <tableColumn id="1" name="STT"/>
    <tableColumn id="2" name="Mã task"/>
    <tableColumn id="3" name="Mã app"/>
    <tableColumn id="4" name="Mô tả công việc"/>
    <tableColumn id="5" name="Ngày bắt đầu"/>
    <tableColumn id="6" name="Ngày kết thúc"/>
    <tableColumn id="7" name="Số ngày mở (lịch)"/>
    <tableColumn id="8" name="Số ngày có log (task)"/>
    <tableColumn id="9" name="Làm app mới"/>
    <tableColumn id="10" name="Fix Policy"/>
    <tableColumn id="11" name="Fix chỉ số ads"/>
    <tableColumn id="12" name="Gắn quảng cáo/Ads"/>
    <tableColumn id="13" name="Kịch bản MO"/>
    <tableColumn id="14" name="Fix crash"/>
    <tableColumn id="15" name="Tính năng mới/IAP"/>
    <tableColumn id="16" name="SDK"/>
    <tableColumn id="17" name="Tháng"/>
    <tableColumn id="18" name="Log chi tiết (đã soát lỗi ngày)"/>
  </tableColumns>
  <tableStyleInfo showFirstColumn="0" showLastColumn="0" showRowStripes="1" showColumnStripes="0"/>
</table>
</file>

<file path=xl/tables/table2.xml><?xml version="1.0" encoding="utf-8"?>
<table xmlns="http://schemas.openxmlformats.org/spreadsheetml/2006/main" id="3" name="TrungNgay" displayName="TrungNgay" ref="B5:I116" totalsRowShown="0">
  <autoFilter xmlns:etc="http://www.wps.cn/officeDocument/2017/etCustomData" ref="B5:I116" etc:filterBottomFollowUsedRange="0">
    <filterColumn colId="3">
      <customFilters>
        <customFilter operator="equal" val="Update Ui Fix policy (Start 11H -&gt; 14H Done)"/>
      </customFilters>
    </filterColumn>
  </autoFilter>
  <tableColumns count="8">
    <tableColumn id="1" name="Ngày"/>
    <tableColumn id="2" name="Mã task A"/>
    <tableColumn id="3" name="App A"/>
    <tableColumn id="4" name="Thao tác task A"/>
    <tableColumn id="5" name="Mã task B"/>
    <tableColumn id="6" name="App B"/>
    <tableColumn id="7" name="Thao tác task B"/>
    <tableColumn id="8" name="Cả hai đều làm thật?"/>
  </tableColumns>
  <tableStyleInfo showFirstColumn="0" showLastColumn="0" showRowStripes="1" showColumnStripes="0"/>
</table>
</file>

<file path=xl/tables/table3.xml><?xml version="1.0" encoding="utf-8"?>
<table xmlns="http://schemas.openxmlformats.org/spreadsheetml/2006/main" id="2" name="GhiChu" displayName="GhiChu" ref="B5:F14" totalsRowShown="0">
  <autoFilter xmlns:etc="http://www.wps.cn/officeDocument/2017/etCustomData" ref="B5:F14" etc:filterBottomFollowUsedRange="0"/>
  <tableColumns count="5">
    <tableColumn id="1" name="Mã task"/>
    <tableColumn id="2" name="App"/>
    <tableColumn id="3" name="Ngày gốc (nghi sai)"/>
    <tableColumn id="4" name="Đã sửa thành"/>
    <tableColumn id="5" name="Căn cứ xác nhậ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K32"/>
  <sheetViews>
    <sheetView showGridLines="0" topLeftCell="A31" workbookViewId="0">
      <selection activeCell="J2" sqref="J2"/>
    </sheetView>
  </sheetViews>
  <sheetFormatPr defaultColWidth="13.9375" defaultRowHeight="16.8"/>
  <cols>
    <col min="1" max="16384" width="13.9375" style="13" customWidth="1"/>
  </cols>
  <sheetData>
    <row r="2" ht="17.25" customHeight="1" spans="2:11">
      <c r="B2" s="14" t="s">
        <v>0</v>
      </c>
    </row>
    <row r="3" ht="15" customHeight="1" spans="2:11">
      <c r="B3" s="15" t="s">
        <v>1</v>
      </c>
    </row>
    <row r="5" ht="32.25" customHeight="1" spans="2:11">
      <c r="B5" s="16" t="s">
        <v>2</v>
      </c>
      <c r="C5" s="16"/>
      <c r="D5" s="16" t="s">
        <v>3</v>
      </c>
      <c r="E5" s="16"/>
      <c r="F5" s="16" t="s">
        <v>4</v>
      </c>
      <c r="G5" s="16"/>
      <c r="H5" s="17" t="s">
        <v>5</v>
      </c>
      <c r="I5" s="18"/>
      <c r="J5" s="18"/>
      <c r="K5" s="18"/>
    </row>
    <row r="6" ht="39.75" customHeight="1" spans="2:11">
      <c r="B6" s="19">
        <f>COUNTA('Dữ liệu chi tiết'!B2:B74)</f>
        <v>73</v>
      </c>
      <c r="C6" s="19"/>
      <c r="D6" s="19">
        <f>SUM('Dữ liệu chi tiết'!G2:G74)</f>
        <v>279</v>
      </c>
      <c r="E6" s="19"/>
      <c r="F6" s="19">
        <f>SUM('Dữ liệu chi tiết'!H2:H74)</f>
        <v>202</v>
      </c>
      <c r="G6" s="19"/>
      <c r="H6" s="20" t="s">
        <v>6</v>
      </c>
      <c r="I6" s="20"/>
      <c r="J6" s="20"/>
      <c r="K6" s="20"/>
    </row>
    <row r="8" ht="15" customHeight="1" spans="2:11">
      <c r="B8" s="21" t="s">
        <v>7</v>
      </c>
    </row>
    <row r="9" ht="42.75" customHeight="1" spans="2:11">
      <c r="B9" s="22" t="s">
        <v>8</v>
      </c>
      <c r="C9" s="22"/>
      <c r="D9" s="22" t="s">
        <v>9</v>
      </c>
      <c r="E9" s="22"/>
      <c r="F9" s="22" t="s">
        <v>10</v>
      </c>
      <c r="G9" s="22"/>
      <c r="H9" s="22" t="s">
        <v>11</v>
      </c>
      <c r="I9" s="22"/>
      <c r="J9" s="18"/>
      <c r="K9" s="18"/>
    </row>
    <row r="10" ht="19.5" customHeight="1" spans="2:11">
      <c r="B10" s="23">
        <v>108</v>
      </c>
      <c r="C10" s="23"/>
      <c r="D10" s="23">
        <v>168</v>
      </c>
      <c r="E10" s="23"/>
      <c r="F10" s="23">
        <v>120</v>
      </c>
      <c r="G10" s="23"/>
      <c r="H10" s="24">
        <f>B10/F10</f>
        <v>0.9</v>
      </c>
      <c r="I10" s="24"/>
      <c r="J10" s="18"/>
      <c r="K10" s="18"/>
    </row>
    <row r="13" ht="15" customHeight="1" spans="2:11">
      <c r="B13" s="21" t="s">
        <v>12</v>
      </c>
    </row>
    <row r="14" ht="39" customHeight="1" spans="2:11">
      <c r="B14" s="25" t="s">
        <v>13</v>
      </c>
      <c r="C14" s="25" t="s">
        <v>14</v>
      </c>
      <c r="D14" s="25" t="s">
        <v>15</v>
      </c>
      <c r="E14" s="25" t="s">
        <v>16</v>
      </c>
      <c r="F14" s="25" t="s">
        <v>17</v>
      </c>
    </row>
    <row r="15" ht="15" customHeight="1" spans="2:11">
      <c r="B15" s="26" t="s">
        <v>18</v>
      </c>
      <c r="C15" s="27" t="s">
        <v>19</v>
      </c>
      <c r="D15" s="27">
        <f>COUNTIF('Dữ liệu chi tiết'!I2:I74,"X")</f>
        <v>5</v>
      </c>
      <c r="E15" s="27">
        <f>SUMIF('Dữ liệu chi tiết'!I2:I74,"X",'Dữ liệu chi tiết'!H2:H74)</f>
        <v>36</v>
      </c>
      <c r="F15" s="28">
        <f t="shared" ref="F15:F22" si="0">IF(D15=0,0,E15/D15)</f>
        <v>7.2</v>
      </c>
    </row>
    <row r="16" ht="15" customHeight="1" spans="2:11">
      <c r="B16" s="26" t="s">
        <v>20</v>
      </c>
      <c r="C16" s="27" t="s">
        <v>21</v>
      </c>
      <c r="D16" s="27">
        <f>COUNTIF('Dữ liệu chi tiết'!J2:J74,"X")</f>
        <v>2</v>
      </c>
      <c r="E16" s="27">
        <f>SUMIF('Dữ liệu chi tiết'!J2:J74,"X",'Dữ liệu chi tiết'!H2:H74)</f>
        <v>2</v>
      </c>
      <c r="F16" s="28">
        <f t="shared" si="0"/>
        <v>1</v>
      </c>
    </row>
    <row r="17" ht="15" customHeight="1" spans="2:6">
      <c r="B17" s="26" t="s">
        <v>22</v>
      </c>
      <c r="C17" s="27" t="s">
        <v>23</v>
      </c>
      <c r="D17" s="27">
        <f>COUNTIF('Dữ liệu chi tiết'!K2:K74,"X")</f>
        <v>17</v>
      </c>
      <c r="E17" s="27">
        <f>SUMIF('Dữ liệu chi tiết'!K2:K74,"X",'Dữ liệu chi tiết'!H2:H74)</f>
        <v>42</v>
      </c>
      <c r="F17" s="28">
        <f t="shared" si="0"/>
        <v>2.47058823529412</v>
      </c>
    </row>
    <row r="18" ht="15" customHeight="1" spans="2:6">
      <c r="B18" s="26" t="s">
        <v>24</v>
      </c>
      <c r="C18" s="27" t="s">
        <v>25</v>
      </c>
      <c r="D18" s="27">
        <f>COUNTIF('Dữ liệu chi tiết'!L2:L74,"X")</f>
        <v>15</v>
      </c>
      <c r="E18" s="27">
        <f>SUMIF('Dữ liệu chi tiết'!L2:L74,"X",'Dữ liệu chi tiết'!H2:H74)</f>
        <v>33</v>
      </c>
      <c r="F18" s="28">
        <f t="shared" si="0"/>
        <v>2.2</v>
      </c>
    </row>
    <row r="19" ht="15" customHeight="1" spans="2:6">
      <c r="B19" s="26" t="s">
        <v>26</v>
      </c>
      <c r="C19" s="27" t="s">
        <v>27</v>
      </c>
      <c r="D19" s="27">
        <f>COUNTIF('Dữ liệu chi tiết'!M2:M74,"X")</f>
        <v>10</v>
      </c>
      <c r="E19" s="27">
        <f>SUMIF('Dữ liệu chi tiết'!M2:M74,"X",'Dữ liệu chi tiết'!H2:H74)</f>
        <v>29</v>
      </c>
      <c r="F19" s="28">
        <f t="shared" si="0"/>
        <v>2.9</v>
      </c>
    </row>
    <row r="20" ht="15" customHeight="1" spans="2:6">
      <c r="B20" s="26" t="s">
        <v>28</v>
      </c>
      <c r="C20" s="27" t="s">
        <v>29</v>
      </c>
      <c r="D20" s="27">
        <f>COUNTIF('Dữ liệu chi tiết'!N2:N74,"X")</f>
        <v>7</v>
      </c>
      <c r="E20" s="27">
        <f>SUMIF('Dữ liệu chi tiết'!N2:N74,"X",'Dữ liệu chi tiết'!H2:H74)</f>
        <v>15</v>
      </c>
      <c r="F20" s="28">
        <f t="shared" si="0"/>
        <v>2.14285714285714</v>
      </c>
    </row>
    <row r="21" ht="15" customHeight="1" spans="2:6">
      <c r="B21" s="26" t="s">
        <v>30</v>
      </c>
      <c r="C21" s="27" t="s">
        <v>31</v>
      </c>
      <c r="D21" s="27">
        <f>COUNTIF('Dữ liệu chi tiết'!O2:O74,"X")</f>
        <v>10</v>
      </c>
      <c r="E21" s="27">
        <f>SUMIF('Dữ liệu chi tiết'!O2:O74,"X",'Dữ liệu chi tiết'!H2:H74)</f>
        <v>40</v>
      </c>
      <c r="F21" s="28">
        <f t="shared" si="0"/>
        <v>4</v>
      </c>
    </row>
    <row r="22" ht="15" customHeight="1" spans="2:6">
      <c r="B22" s="26" t="s">
        <v>32</v>
      </c>
      <c r="C22" s="27" t="s">
        <v>33</v>
      </c>
      <c r="D22" s="27">
        <f>COUNTIF('Dữ liệu chi tiết'!P2:P74,"X")</f>
        <v>4</v>
      </c>
      <c r="E22" s="27">
        <f>SUMIF('Dữ liệu chi tiết'!P2:P74,"X",'Dữ liệu chi tiết'!H2:H74)</f>
        <v>6</v>
      </c>
      <c r="F22" s="28">
        <f t="shared" si="0"/>
        <v>1.5</v>
      </c>
    </row>
    <row r="25" ht="15" customHeight="1" spans="2:6">
      <c r="B25" s="21" t="s">
        <v>34</v>
      </c>
    </row>
    <row r="26" ht="15" customHeight="1" spans="2:6">
      <c r="B26" s="25" t="s">
        <v>35</v>
      </c>
      <c r="C26" s="25" t="s">
        <v>15</v>
      </c>
      <c r="D26" s="25" t="s">
        <v>16</v>
      </c>
      <c r="E26" s="25" t="s">
        <v>17</v>
      </c>
    </row>
    <row r="27" ht="15" customHeight="1" spans="2:6">
      <c r="B27" s="26" t="s">
        <v>36</v>
      </c>
      <c r="C27" s="27">
        <f>COUNTIF('Dữ liệu chi tiết'!Q2:Q74,"2026-01")</f>
        <v>6</v>
      </c>
      <c r="D27" s="27">
        <f>SUMIF('Dữ liệu chi tiết'!Q2:Q74,"2026-01",'Dữ liệu chi tiết'!H2:H74)</f>
        <v>18</v>
      </c>
      <c r="E27" s="28">
        <f t="shared" ref="E27:E32" si="1">IF(C27=0,0,D27/C27)</f>
        <v>3</v>
      </c>
    </row>
    <row r="28" ht="15" customHeight="1" spans="2:6">
      <c r="B28" s="26" t="s">
        <v>37</v>
      </c>
      <c r="C28" s="27">
        <f>COUNTIF('Dữ liệu chi tiết'!Q2:Q74,"2026-02")</f>
        <v>6</v>
      </c>
      <c r="D28" s="27">
        <f>SUMIF('Dữ liệu chi tiết'!Q2:Q74,"2026-02",'Dữ liệu chi tiết'!H2:H74)</f>
        <v>25</v>
      </c>
      <c r="E28" s="28">
        <f t="shared" si="1"/>
        <v>4.16666666666667</v>
      </c>
    </row>
    <row r="29" ht="15" customHeight="1" spans="2:6">
      <c r="B29" s="26" t="s">
        <v>38</v>
      </c>
      <c r="C29" s="27">
        <f>COUNTIF('Dữ liệu chi tiết'!Q2:Q74,"2026-03")</f>
        <v>20</v>
      </c>
      <c r="D29" s="27">
        <f>SUMIF('Dữ liệu chi tiết'!Q2:Q74,"2026-03",'Dữ liệu chi tiết'!H2:H74)</f>
        <v>47</v>
      </c>
      <c r="E29" s="28">
        <f t="shared" si="1"/>
        <v>2.35</v>
      </c>
    </row>
    <row r="30" ht="15" customHeight="1" spans="2:6">
      <c r="B30" s="26" t="s">
        <v>39</v>
      </c>
      <c r="C30" s="27">
        <f>COUNTIF('Dữ liệu chi tiết'!Q2:Q74,"2026-04")</f>
        <v>10</v>
      </c>
      <c r="D30" s="27">
        <f>SUMIF('Dữ liệu chi tiết'!Q2:Q74,"2026-04",'Dữ liệu chi tiết'!H2:H74)</f>
        <v>29</v>
      </c>
      <c r="E30" s="28">
        <f t="shared" si="1"/>
        <v>2.9</v>
      </c>
    </row>
    <row r="31" ht="15" customHeight="1" spans="2:6">
      <c r="B31" s="26" t="s">
        <v>40</v>
      </c>
      <c r="C31" s="27">
        <f>COUNTIF('Dữ liệu chi tiết'!Q2:Q74,"2026-05")</f>
        <v>15</v>
      </c>
      <c r="D31" s="27">
        <f>SUMIF('Dữ liệu chi tiết'!Q2:Q74,"2026-05",'Dữ liệu chi tiết'!H2:H74)</f>
        <v>38</v>
      </c>
      <c r="E31" s="28">
        <f t="shared" si="1"/>
        <v>2.53333333333333</v>
      </c>
    </row>
    <row r="32" ht="15" customHeight="1" spans="2:6">
      <c r="B32" s="26" t="s">
        <v>41</v>
      </c>
      <c r="C32" s="27">
        <f>COUNTIF('Dữ liệu chi tiết'!Q2:Q74,"2026-06")</f>
        <v>16</v>
      </c>
      <c r="D32" s="27">
        <f>SUMIF('Dữ liệu chi tiết'!Q2:Q74,"2026-06",'Dữ liệu chi tiết'!H2:H74)</f>
        <v>45</v>
      </c>
      <c r="E32" s="28">
        <f t="shared" si="1"/>
        <v>2.8125</v>
      </c>
    </row>
  </sheetData>
  <mergeCells count="15">
    <mergeCell ref="B5:C5"/>
    <mergeCell ref="D5:E5"/>
    <mergeCell ref="F5:G5"/>
    <mergeCell ref="B6:C6"/>
    <mergeCell ref="D6:E6"/>
    <mergeCell ref="F6:G6"/>
    <mergeCell ref="H6:K6"/>
    <mergeCell ref="B9:C9"/>
    <mergeCell ref="D9:E9"/>
    <mergeCell ref="F9:G9"/>
    <mergeCell ref="H9:I9"/>
    <mergeCell ref="B10:C10"/>
    <mergeCell ref="D10:E10"/>
    <mergeCell ref="F10:G10"/>
    <mergeCell ref="H10:I10"/>
  </mergeCells>
  <pageMargins left="0.75" right="0.75" top="1" bottom="1" header="0.511811023622047" footer="0.511811023622047"/>
  <pageSetup paperSize="9" orientation="portrait" horizontalDpi="300" verticalDpi="3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74"/>
  <sheetViews>
    <sheetView workbookViewId="0">
      <pane ySplit="1" topLeftCell="A2" activePane="bottomLeft" state="frozen"/>
      <selection/>
      <selection pane="bottomLeft" activeCell="A1" sqref="A1"/>
    </sheetView>
  </sheetViews>
  <sheetFormatPr defaultColWidth="8.6796875" defaultRowHeight="16.8"/>
  <cols>
    <col min="1" max="1" width="5" style="1" customWidth="1"/>
    <col min="2" max="3" width="11" style="1" customWidth="1"/>
    <col min="4" max="4" width="46" style="1" customWidth="1"/>
    <col min="5" max="6" width="12" style="1" customWidth="1"/>
    <col min="7" max="8" width="11" style="1" customWidth="1"/>
    <col min="9" max="9" width="10" style="1" customWidth="1"/>
    <col min="10" max="10" width="9" style="1" customWidth="1"/>
    <col min="11" max="11" width="10" style="1" customWidth="1"/>
    <col min="12" max="12" width="11" style="1" customWidth="1"/>
    <col min="13" max="14" width="9" style="1" customWidth="1"/>
    <col min="15" max="15" width="11" style="1" customWidth="1"/>
    <col min="16" max="16" width="7" style="1" customWidth="1"/>
    <col min="17" max="17" width="10" style="1" customWidth="1"/>
    <col min="18" max="18" width="65" style="1" customWidth="1"/>
  </cols>
  <sheetData>
    <row r="1" ht="33.75" customHeight="1" spans="1:18">
      <c r="A1" s="4" t="s">
        <v>42</v>
      </c>
      <c r="B1" s="4" t="s">
        <v>43</v>
      </c>
      <c r="C1" s="4" t="s">
        <v>44</v>
      </c>
      <c r="D1" s="4" t="s">
        <v>45</v>
      </c>
      <c r="E1" s="4" t="s">
        <v>46</v>
      </c>
      <c r="F1" s="4" t="s">
        <v>47</v>
      </c>
      <c r="G1" s="4" t="s">
        <v>48</v>
      </c>
      <c r="H1" s="4" t="s">
        <v>49</v>
      </c>
      <c r="I1" s="4" t="s">
        <v>18</v>
      </c>
      <c r="J1" s="4" t="s">
        <v>20</v>
      </c>
      <c r="K1" s="4" t="s">
        <v>22</v>
      </c>
      <c r="L1" s="4" t="s">
        <v>50</v>
      </c>
      <c r="M1" s="4" t="s">
        <v>26</v>
      </c>
      <c r="N1" s="4" t="s">
        <v>28</v>
      </c>
      <c r="O1" s="4" t="s">
        <v>51</v>
      </c>
      <c r="P1" s="4" t="s">
        <v>32</v>
      </c>
      <c r="Q1" s="4" t="s">
        <v>35</v>
      </c>
      <c r="R1" s="4" t="s">
        <v>52</v>
      </c>
    </row>
    <row r="2" ht="15" hidden="1" customHeight="1" spans="1:18">
      <c r="A2" s="7">
        <v>1</v>
      </c>
      <c r="B2" s="7" t="s">
        <v>53</v>
      </c>
      <c r="C2" s="7" t="s">
        <v>54</v>
      </c>
      <c r="D2" s="11" t="s">
        <v>55</v>
      </c>
      <c r="E2" s="6">
        <v>46202</v>
      </c>
      <c r="F2" s="6">
        <v>46202</v>
      </c>
      <c r="G2" s="7">
        <f t="shared" ref="G2:G65" si="0">F2-E2+1</f>
        <v>1</v>
      </c>
      <c r="H2" s="7">
        <v>1</v>
      </c>
      <c r="I2" s="7" t="str">
        <f t="shared" ref="I2:I65" si="1">IF(OR(ISNUMBER(SEARCH("làm app mới",D2)),ISNUMBER(SEARCH("app mẫu",D2))),"X","")</f>
        <v/>
      </c>
      <c r="J2" s="7" t="str">
        <f t="shared" ref="J2:J65" si="2">IF(ISNUMBER(SEARCH("policy",D2)),"X","")</f>
        <v>X</v>
      </c>
      <c r="K2" s="7" t="str">
        <f t="shared" ref="K2:K65" si="3">IF(OR(ISNUMBER(SEARCH("chỉ số",D2)),ISNUMBER(SEARCH("show rate",D2)),ISNUMBER(SEARCH("showrate",D2)),ISNUMBER(SEARCH("impression",D2)),ISNUMBER(SEARCH("imp/new user",D2))),"X","")</f>
        <v/>
      </c>
      <c r="L2" s="7" t="str">
        <f t="shared" ref="L2:L65" si="4">IF(OR(ISNUMBER(SEARCH("quảng cáo",D2)),ISNUMBER(SEARCH("kịch bản ads",D2)),ISNUMBER(SEARCH("admob",D2)),ISNUMBER(SEARCH("turnoverads",D2)),ISNUMBER(SEARCH("turn over ads",D2))),"X","")</f>
        <v/>
      </c>
      <c r="M2" s="7" t="str">
        <f t="shared" ref="M2:M65" si="5">IF(ISNUMBER(SEARCH("kịch bản mo",D2)),"X","")</f>
        <v/>
      </c>
      <c r="N2" s="7" t="str">
        <f t="shared" ref="N2:N65" si="6">IF(ISNUMBER(SEARCH("crash",D2)),"X","")</f>
        <v/>
      </c>
      <c r="O2" s="7" t="str">
        <f t="shared" ref="O2:O65" si="7">IF(OR(ISNUMBER(SEARCH("iap",D2)),ISNUMBER(SEARCH("sub",D2)),ISNUMBER(SEARCH("tính năng",D2))),"X","")</f>
        <v/>
      </c>
      <c r="P2" s="7" t="str">
        <f t="shared" ref="P2:P65" si="8">IF(ISNUMBER(SEARCH("sdk",D2)),"X","")</f>
        <v/>
      </c>
      <c r="Q2" s="7" t="str">
        <f t="shared" ref="Q2:Q65" si="9">TEXT(E2,"yyyy-mm")</f>
        <v>2026-06</v>
      </c>
      <c r="R2" s="12" t="s">
        <v>56</v>
      </c>
    </row>
    <row r="3" ht="15" hidden="1" customHeight="1" spans="1:18">
      <c r="A3" s="7">
        <v>2</v>
      </c>
      <c r="B3" s="7" t="s">
        <v>57</v>
      </c>
      <c r="C3" s="7" t="s">
        <v>58</v>
      </c>
      <c r="D3" s="11" t="s">
        <v>59</v>
      </c>
      <c r="E3" s="6">
        <v>46203</v>
      </c>
      <c r="F3" s="6">
        <v>46204</v>
      </c>
      <c r="G3" s="7">
        <f t="shared" si="0"/>
        <v>2</v>
      </c>
      <c r="H3" s="7">
        <v>1</v>
      </c>
      <c r="I3" s="7" t="str">
        <f t="shared" si="1"/>
        <v/>
      </c>
      <c r="J3" s="7" t="str">
        <f t="shared" si="2"/>
        <v/>
      </c>
      <c r="K3" s="7" t="str">
        <f t="shared" si="3"/>
        <v/>
      </c>
      <c r="L3" s="7" t="str">
        <f t="shared" si="4"/>
        <v/>
      </c>
      <c r="M3" s="7" t="str">
        <f t="shared" si="5"/>
        <v/>
      </c>
      <c r="N3" s="7" t="str">
        <f t="shared" si="6"/>
        <v>X</v>
      </c>
      <c r="O3" s="7" t="str">
        <f t="shared" si="7"/>
        <v/>
      </c>
      <c r="P3" s="7" t="str">
        <f t="shared" si="8"/>
        <v>X</v>
      </c>
      <c r="Q3" s="7" t="str">
        <f t="shared" si="9"/>
        <v>2026-06</v>
      </c>
      <c r="R3" s="12" t="s">
        <v>60</v>
      </c>
    </row>
    <row r="4" ht="34.5" hidden="1" customHeight="1" spans="1:18">
      <c r="A4" s="7">
        <v>3</v>
      </c>
      <c r="B4" s="7" t="s">
        <v>61</v>
      </c>
      <c r="C4" s="7" t="s">
        <v>62</v>
      </c>
      <c r="D4" s="11" t="s">
        <v>63</v>
      </c>
      <c r="E4" s="6">
        <v>46202</v>
      </c>
      <c r="F4" s="6">
        <v>46204</v>
      </c>
      <c r="G4" s="7">
        <f t="shared" si="0"/>
        <v>3</v>
      </c>
      <c r="H4" s="7">
        <v>3</v>
      </c>
      <c r="I4" s="7" t="str">
        <f t="shared" si="1"/>
        <v/>
      </c>
      <c r="J4" s="7" t="str">
        <f t="shared" si="2"/>
        <v/>
      </c>
      <c r="K4" s="7" t="str">
        <f t="shared" si="3"/>
        <v/>
      </c>
      <c r="L4" s="7" t="str">
        <f t="shared" si="4"/>
        <v>X</v>
      </c>
      <c r="M4" s="7" t="str">
        <f t="shared" si="5"/>
        <v/>
      </c>
      <c r="N4" s="7" t="str">
        <f t="shared" si="6"/>
        <v/>
      </c>
      <c r="O4" s="7" t="str">
        <f t="shared" si="7"/>
        <v/>
      </c>
      <c r="P4" s="7" t="str">
        <f t="shared" si="8"/>
        <v/>
      </c>
      <c r="Q4" s="7" t="str">
        <f t="shared" si="9"/>
        <v>2026-06</v>
      </c>
      <c r="R4" s="12" t="s">
        <v>64</v>
      </c>
    </row>
    <row r="5" ht="23.25" hidden="1" customHeight="1" spans="1:18">
      <c r="A5" s="7">
        <v>4</v>
      </c>
      <c r="B5" s="7" t="s">
        <v>65</v>
      </c>
      <c r="C5" s="7" t="s">
        <v>66</v>
      </c>
      <c r="D5" s="11" t="s">
        <v>67</v>
      </c>
      <c r="E5" s="6">
        <v>46198</v>
      </c>
      <c r="F5" s="6">
        <v>46199</v>
      </c>
      <c r="G5" s="7">
        <f t="shared" si="0"/>
        <v>2</v>
      </c>
      <c r="H5" s="7">
        <v>2</v>
      </c>
      <c r="I5" s="7" t="str">
        <f t="shared" si="1"/>
        <v/>
      </c>
      <c r="J5" s="7" t="str">
        <f t="shared" si="2"/>
        <v/>
      </c>
      <c r="K5" s="7" t="str">
        <f t="shared" si="3"/>
        <v/>
      </c>
      <c r="L5" s="7" t="str">
        <f t="shared" si="4"/>
        <v/>
      </c>
      <c r="M5" s="7" t="str">
        <f t="shared" si="5"/>
        <v/>
      </c>
      <c r="N5" s="7" t="str">
        <f t="shared" si="6"/>
        <v/>
      </c>
      <c r="O5" s="7" t="str">
        <f t="shared" si="7"/>
        <v>X</v>
      </c>
      <c r="P5" s="7" t="str">
        <f t="shared" si="8"/>
        <v/>
      </c>
      <c r="Q5" s="7" t="str">
        <f t="shared" si="9"/>
        <v>2026-06</v>
      </c>
      <c r="R5" s="12" t="s">
        <v>68</v>
      </c>
    </row>
    <row r="6" ht="23.25" hidden="1" customHeight="1" spans="1:18">
      <c r="A6" s="7">
        <v>5</v>
      </c>
      <c r="B6" s="7" t="s">
        <v>69</v>
      </c>
      <c r="C6" s="7" t="s">
        <v>70</v>
      </c>
      <c r="D6" s="11" t="s">
        <v>71</v>
      </c>
      <c r="E6" s="6">
        <v>46198</v>
      </c>
      <c r="F6" s="6">
        <v>46198</v>
      </c>
      <c r="G6" s="7">
        <f t="shared" si="0"/>
        <v>1</v>
      </c>
      <c r="H6" s="7">
        <v>1</v>
      </c>
      <c r="I6" s="7" t="str">
        <f t="shared" si="1"/>
        <v/>
      </c>
      <c r="J6" s="7" t="str">
        <f t="shared" si="2"/>
        <v/>
      </c>
      <c r="K6" s="7" t="str">
        <f t="shared" si="3"/>
        <v>X</v>
      </c>
      <c r="L6" s="7" t="str">
        <f t="shared" si="4"/>
        <v/>
      </c>
      <c r="M6" s="7" t="str">
        <f t="shared" si="5"/>
        <v/>
      </c>
      <c r="N6" s="7" t="str">
        <f t="shared" si="6"/>
        <v>X</v>
      </c>
      <c r="O6" s="7" t="str">
        <f t="shared" si="7"/>
        <v/>
      </c>
      <c r="P6" s="7" t="str">
        <f t="shared" si="8"/>
        <v/>
      </c>
      <c r="Q6" s="7" t="str">
        <f t="shared" si="9"/>
        <v>2026-06</v>
      </c>
      <c r="R6" s="12" t="s">
        <v>72</v>
      </c>
    </row>
    <row r="7" ht="15" hidden="1" customHeight="1" spans="1:18">
      <c r="A7" s="7">
        <v>6</v>
      </c>
      <c r="B7" s="7" t="s">
        <v>73</v>
      </c>
      <c r="C7" s="7" t="s">
        <v>74</v>
      </c>
      <c r="D7" s="11" t="s">
        <v>75</v>
      </c>
      <c r="E7" s="6">
        <v>46197</v>
      </c>
      <c r="F7" s="6">
        <v>46197</v>
      </c>
      <c r="G7" s="7">
        <f t="shared" si="0"/>
        <v>1</v>
      </c>
      <c r="H7" s="7">
        <v>1</v>
      </c>
      <c r="I7" s="7" t="str">
        <f t="shared" si="1"/>
        <v/>
      </c>
      <c r="J7" s="7" t="str">
        <f t="shared" si="2"/>
        <v>X</v>
      </c>
      <c r="K7" s="7" t="str">
        <f t="shared" si="3"/>
        <v/>
      </c>
      <c r="L7" s="7" t="str">
        <f t="shared" si="4"/>
        <v/>
      </c>
      <c r="M7" s="7" t="str">
        <f t="shared" si="5"/>
        <v/>
      </c>
      <c r="N7" s="7" t="str">
        <f t="shared" si="6"/>
        <v/>
      </c>
      <c r="O7" s="7" t="str">
        <f t="shared" si="7"/>
        <v/>
      </c>
      <c r="P7" s="7" t="str">
        <f t="shared" si="8"/>
        <v/>
      </c>
      <c r="Q7" s="7" t="str">
        <f t="shared" si="9"/>
        <v>2026-06</v>
      </c>
      <c r="R7" s="12" t="s">
        <v>76</v>
      </c>
    </row>
    <row r="8" ht="34.5" hidden="1" customHeight="1" spans="1:18">
      <c r="A8" s="7">
        <v>7</v>
      </c>
      <c r="B8" s="7" t="s">
        <v>77</v>
      </c>
      <c r="C8" s="7" t="s">
        <v>78</v>
      </c>
      <c r="D8" s="11" t="s">
        <v>79</v>
      </c>
      <c r="E8" s="6">
        <v>46197</v>
      </c>
      <c r="F8" s="6">
        <v>46198</v>
      </c>
      <c r="G8" s="7">
        <f t="shared" si="0"/>
        <v>2</v>
      </c>
      <c r="H8" s="7">
        <v>3</v>
      </c>
      <c r="I8" s="7" t="str">
        <f t="shared" si="1"/>
        <v/>
      </c>
      <c r="J8" s="7" t="str">
        <f t="shared" si="2"/>
        <v/>
      </c>
      <c r="K8" s="7" t="str">
        <f t="shared" si="3"/>
        <v>X</v>
      </c>
      <c r="L8" s="7" t="str">
        <f t="shared" si="4"/>
        <v/>
      </c>
      <c r="M8" s="7" t="str">
        <f t="shared" si="5"/>
        <v/>
      </c>
      <c r="N8" s="7" t="str">
        <f t="shared" si="6"/>
        <v>X</v>
      </c>
      <c r="O8" s="7" t="str">
        <f t="shared" si="7"/>
        <v/>
      </c>
      <c r="P8" s="7" t="str">
        <f t="shared" si="8"/>
        <v/>
      </c>
      <c r="Q8" s="7" t="str">
        <f t="shared" si="9"/>
        <v>2026-06</v>
      </c>
      <c r="R8" s="12" t="s">
        <v>80</v>
      </c>
    </row>
    <row r="9" ht="15" hidden="1" customHeight="1" spans="1:18">
      <c r="A9" s="7">
        <v>8</v>
      </c>
      <c r="B9" s="7" t="s">
        <v>81</v>
      </c>
      <c r="C9" s="7" t="s">
        <v>82</v>
      </c>
      <c r="D9" s="11" t="s">
        <v>83</v>
      </c>
      <c r="E9" s="6">
        <v>46196</v>
      </c>
      <c r="F9" s="6">
        <v>46196</v>
      </c>
      <c r="G9" s="7">
        <f t="shared" si="0"/>
        <v>1</v>
      </c>
      <c r="H9" s="7">
        <v>1</v>
      </c>
      <c r="I9" s="7" t="str">
        <f t="shared" si="1"/>
        <v/>
      </c>
      <c r="J9" s="7" t="str">
        <f t="shared" si="2"/>
        <v/>
      </c>
      <c r="K9" s="7" t="str">
        <f t="shared" si="3"/>
        <v/>
      </c>
      <c r="L9" s="7" t="str">
        <f t="shared" si="4"/>
        <v>X</v>
      </c>
      <c r="M9" s="7" t="str">
        <f t="shared" si="5"/>
        <v/>
      </c>
      <c r="N9" s="7" t="str">
        <f t="shared" si="6"/>
        <v/>
      </c>
      <c r="O9" s="7" t="str">
        <f t="shared" si="7"/>
        <v/>
      </c>
      <c r="P9" s="7" t="str">
        <f t="shared" si="8"/>
        <v>X</v>
      </c>
      <c r="Q9" s="7" t="str">
        <f t="shared" si="9"/>
        <v>2026-06</v>
      </c>
      <c r="R9" s="12" t="s">
        <v>84</v>
      </c>
    </row>
    <row r="10" ht="34.5" hidden="1" customHeight="1" spans="1:18">
      <c r="A10" s="7">
        <v>9</v>
      </c>
      <c r="B10" s="7" t="s">
        <v>85</v>
      </c>
      <c r="C10" s="7" t="s">
        <v>86</v>
      </c>
      <c r="D10" s="11" t="s">
        <v>87</v>
      </c>
      <c r="E10" s="6">
        <v>46195</v>
      </c>
      <c r="F10" s="6">
        <v>46197</v>
      </c>
      <c r="G10" s="7">
        <f t="shared" si="0"/>
        <v>3</v>
      </c>
      <c r="H10" s="7">
        <v>3</v>
      </c>
      <c r="I10" s="7" t="str">
        <f t="shared" si="1"/>
        <v/>
      </c>
      <c r="J10" s="7" t="str">
        <f t="shared" si="2"/>
        <v/>
      </c>
      <c r="K10" s="7" t="str">
        <f t="shared" si="3"/>
        <v/>
      </c>
      <c r="L10" s="7" t="str">
        <f t="shared" si="4"/>
        <v/>
      </c>
      <c r="M10" s="7" t="str">
        <f t="shared" si="5"/>
        <v>X</v>
      </c>
      <c r="N10" s="7" t="str">
        <f t="shared" si="6"/>
        <v/>
      </c>
      <c r="O10" s="7" t="str">
        <f t="shared" si="7"/>
        <v/>
      </c>
      <c r="P10" s="7" t="str">
        <f t="shared" si="8"/>
        <v/>
      </c>
      <c r="Q10" s="7" t="str">
        <f t="shared" si="9"/>
        <v>2026-06</v>
      </c>
      <c r="R10" s="12" t="s">
        <v>88</v>
      </c>
    </row>
    <row r="11" ht="15" hidden="1" customHeight="1" spans="1:18">
      <c r="A11" s="7">
        <v>10</v>
      </c>
      <c r="B11" s="7" t="s">
        <v>89</v>
      </c>
      <c r="C11" s="7" t="s">
        <v>90</v>
      </c>
      <c r="D11" s="11" t="s">
        <v>91</v>
      </c>
      <c r="E11" s="6">
        <v>46192</v>
      </c>
      <c r="F11" s="6">
        <v>46192</v>
      </c>
      <c r="G11" s="7">
        <f t="shared" si="0"/>
        <v>1</v>
      </c>
      <c r="H11" s="7">
        <v>1</v>
      </c>
      <c r="I11" s="7" t="str">
        <f t="shared" si="1"/>
        <v/>
      </c>
      <c r="J11" s="7" t="str">
        <f t="shared" si="2"/>
        <v/>
      </c>
      <c r="K11" s="7" t="str">
        <f t="shared" si="3"/>
        <v>X</v>
      </c>
      <c r="L11" s="7" t="str">
        <f t="shared" si="4"/>
        <v/>
      </c>
      <c r="M11" s="7" t="str">
        <f t="shared" si="5"/>
        <v/>
      </c>
      <c r="N11" s="7" t="str">
        <f t="shared" si="6"/>
        <v/>
      </c>
      <c r="O11" s="7" t="str">
        <f t="shared" si="7"/>
        <v/>
      </c>
      <c r="P11" s="7" t="str">
        <f t="shared" si="8"/>
        <v/>
      </c>
      <c r="Q11" s="7" t="str">
        <f t="shared" si="9"/>
        <v>2026-06</v>
      </c>
      <c r="R11" s="12" t="s">
        <v>92</v>
      </c>
    </row>
    <row r="12" ht="34.5" hidden="1" customHeight="1" spans="1:18">
      <c r="A12" s="7">
        <v>11</v>
      </c>
      <c r="B12" s="7" t="s">
        <v>93</v>
      </c>
      <c r="C12" s="7" t="s">
        <v>94</v>
      </c>
      <c r="D12" s="11" t="s">
        <v>95</v>
      </c>
      <c r="E12" s="6">
        <v>46190</v>
      </c>
      <c r="F12" s="6">
        <v>46191</v>
      </c>
      <c r="G12" s="7">
        <f t="shared" si="0"/>
        <v>2</v>
      </c>
      <c r="H12" s="7">
        <v>3</v>
      </c>
      <c r="I12" s="7" t="str">
        <f t="shared" si="1"/>
        <v/>
      </c>
      <c r="J12" s="7" t="str">
        <f t="shared" si="2"/>
        <v/>
      </c>
      <c r="K12" s="7" t="str">
        <f t="shared" si="3"/>
        <v/>
      </c>
      <c r="L12" s="7" t="str">
        <f t="shared" si="4"/>
        <v/>
      </c>
      <c r="M12" s="7" t="str">
        <f t="shared" si="5"/>
        <v/>
      </c>
      <c r="N12" s="7" t="str">
        <f t="shared" si="6"/>
        <v/>
      </c>
      <c r="O12" s="7" t="str">
        <f t="shared" si="7"/>
        <v/>
      </c>
      <c r="P12" s="7" t="str">
        <f t="shared" si="8"/>
        <v/>
      </c>
      <c r="Q12" s="7" t="str">
        <f t="shared" si="9"/>
        <v>2026-06</v>
      </c>
      <c r="R12" s="12" t="s">
        <v>96</v>
      </c>
    </row>
    <row r="13" ht="23.25" hidden="1" customHeight="1" spans="1:18">
      <c r="A13" s="7">
        <v>12</v>
      </c>
      <c r="B13" s="7" t="s">
        <v>97</v>
      </c>
      <c r="C13" s="7" t="s">
        <v>98</v>
      </c>
      <c r="D13" s="11" t="s">
        <v>99</v>
      </c>
      <c r="E13" s="6">
        <v>46182</v>
      </c>
      <c r="F13" s="6">
        <v>46183</v>
      </c>
      <c r="G13" s="7">
        <f t="shared" si="0"/>
        <v>2</v>
      </c>
      <c r="H13" s="7">
        <v>2</v>
      </c>
      <c r="I13" s="7" t="str">
        <f t="shared" si="1"/>
        <v/>
      </c>
      <c r="J13" s="7" t="str">
        <f t="shared" si="2"/>
        <v/>
      </c>
      <c r="K13" s="7" t="str">
        <f t="shared" si="3"/>
        <v/>
      </c>
      <c r="L13" s="7" t="str">
        <f t="shared" si="4"/>
        <v>X</v>
      </c>
      <c r="M13" s="7" t="str">
        <f t="shared" si="5"/>
        <v/>
      </c>
      <c r="N13" s="7" t="str">
        <f t="shared" si="6"/>
        <v>X</v>
      </c>
      <c r="O13" s="7" t="str">
        <f t="shared" si="7"/>
        <v/>
      </c>
      <c r="P13" s="7" t="str">
        <f t="shared" si="8"/>
        <v/>
      </c>
      <c r="Q13" s="7" t="str">
        <f t="shared" si="9"/>
        <v>2026-06</v>
      </c>
      <c r="R13" s="12" t="s">
        <v>100</v>
      </c>
    </row>
    <row r="14" ht="90.75" customHeight="1" spans="1:18">
      <c r="A14" s="7">
        <v>13</v>
      </c>
      <c r="B14" s="7" t="s">
        <v>101</v>
      </c>
      <c r="C14" s="7" t="s">
        <v>86</v>
      </c>
      <c r="D14" s="11" t="s">
        <v>102</v>
      </c>
      <c r="E14" s="6">
        <v>46184</v>
      </c>
      <c r="F14" s="6">
        <v>46195</v>
      </c>
      <c r="G14" s="7">
        <f t="shared" si="0"/>
        <v>12</v>
      </c>
      <c r="H14" s="7">
        <v>8</v>
      </c>
      <c r="I14" s="7" t="str">
        <f t="shared" si="1"/>
        <v>X</v>
      </c>
      <c r="J14" s="7" t="str">
        <f t="shared" si="2"/>
        <v/>
      </c>
      <c r="K14" s="7" t="str">
        <f t="shared" si="3"/>
        <v/>
      </c>
      <c r="L14" s="7" t="str">
        <f t="shared" si="4"/>
        <v/>
      </c>
      <c r="M14" s="7" t="str">
        <f t="shared" si="5"/>
        <v/>
      </c>
      <c r="N14" s="7" t="str">
        <f t="shared" si="6"/>
        <v/>
      </c>
      <c r="O14" s="7" t="str">
        <f t="shared" si="7"/>
        <v/>
      </c>
      <c r="P14" s="7" t="str">
        <f t="shared" si="8"/>
        <v/>
      </c>
      <c r="Q14" s="7" t="str">
        <f t="shared" si="9"/>
        <v>2026-06</v>
      </c>
      <c r="R14" s="12" t="s">
        <v>103</v>
      </c>
    </row>
    <row r="15" ht="135.75" hidden="1" customHeight="1" spans="1:18">
      <c r="A15" s="7">
        <v>14</v>
      </c>
      <c r="B15" s="7" t="s">
        <v>104</v>
      </c>
      <c r="C15" s="7" t="s">
        <v>74</v>
      </c>
      <c r="D15" s="11" t="s">
        <v>105</v>
      </c>
      <c r="E15" s="6">
        <v>46176</v>
      </c>
      <c r="F15" s="6">
        <v>46196</v>
      </c>
      <c r="G15" s="7">
        <f t="shared" si="0"/>
        <v>21</v>
      </c>
      <c r="H15" s="7">
        <v>12</v>
      </c>
      <c r="I15" s="7" t="str">
        <f t="shared" si="1"/>
        <v/>
      </c>
      <c r="J15" s="7" t="str">
        <f t="shared" si="2"/>
        <v/>
      </c>
      <c r="K15" s="7" t="str">
        <f t="shared" si="3"/>
        <v/>
      </c>
      <c r="L15" s="7" t="str">
        <f t="shared" si="4"/>
        <v/>
      </c>
      <c r="M15" s="7" t="str">
        <f t="shared" si="5"/>
        <v/>
      </c>
      <c r="N15" s="7" t="str">
        <f t="shared" si="6"/>
        <v/>
      </c>
      <c r="O15" s="7" t="str">
        <f t="shared" si="7"/>
        <v>X</v>
      </c>
      <c r="P15" s="7" t="str">
        <f t="shared" si="8"/>
        <v/>
      </c>
      <c r="Q15" s="7" t="str">
        <f t="shared" si="9"/>
        <v>2026-06</v>
      </c>
      <c r="R15" s="12" t="s">
        <v>106</v>
      </c>
    </row>
    <row r="16" ht="15" hidden="1" customHeight="1" spans="1:18">
      <c r="A16" s="7">
        <v>15</v>
      </c>
      <c r="B16" s="7" t="s">
        <v>107</v>
      </c>
      <c r="C16" s="7" t="s">
        <v>108</v>
      </c>
      <c r="D16" s="11" t="s">
        <v>109</v>
      </c>
      <c r="E16" s="6">
        <v>46175</v>
      </c>
      <c r="F16" s="6">
        <v>46175</v>
      </c>
      <c r="G16" s="7">
        <f t="shared" si="0"/>
        <v>1</v>
      </c>
      <c r="H16" s="7">
        <v>1</v>
      </c>
      <c r="I16" s="7" t="str">
        <f t="shared" si="1"/>
        <v/>
      </c>
      <c r="J16" s="7" t="str">
        <f t="shared" si="2"/>
        <v/>
      </c>
      <c r="K16" s="7" t="str">
        <f t="shared" si="3"/>
        <v/>
      </c>
      <c r="L16" s="7" t="str">
        <f t="shared" si="4"/>
        <v/>
      </c>
      <c r="M16" s="7" t="str">
        <f t="shared" si="5"/>
        <v/>
      </c>
      <c r="N16" s="7" t="str">
        <f t="shared" si="6"/>
        <v/>
      </c>
      <c r="O16" s="7" t="str">
        <f t="shared" si="7"/>
        <v>X</v>
      </c>
      <c r="P16" s="7" t="str">
        <f t="shared" si="8"/>
        <v/>
      </c>
      <c r="Q16" s="7" t="str">
        <f t="shared" si="9"/>
        <v>2026-06</v>
      </c>
      <c r="R16" s="12" t="s">
        <v>110</v>
      </c>
    </row>
    <row r="17" ht="23.25" hidden="1" customHeight="1" spans="1:18">
      <c r="A17" s="7">
        <v>16</v>
      </c>
      <c r="B17" s="7" t="s">
        <v>111</v>
      </c>
      <c r="C17" s="7" t="s">
        <v>112</v>
      </c>
      <c r="D17" s="11" t="s">
        <v>113</v>
      </c>
      <c r="E17" s="6">
        <v>46174</v>
      </c>
      <c r="F17" s="6">
        <v>46176</v>
      </c>
      <c r="G17" s="7">
        <f t="shared" si="0"/>
        <v>3</v>
      </c>
      <c r="H17" s="7">
        <v>2</v>
      </c>
      <c r="I17" s="7" t="str">
        <f t="shared" si="1"/>
        <v/>
      </c>
      <c r="J17" s="7" t="str">
        <f t="shared" si="2"/>
        <v/>
      </c>
      <c r="K17" s="7" t="str">
        <f t="shared" si="3"/>
        <v/>
      </c>
      <c r="L17" s="7" t="str">
        <f t="shared" si="4"/>
        <v/>
      </c>
      <c r="M17" s="7" t="str">
        <f t="shared" si="5"/>
        <v>X</v>
      </c>
      <c r="N17" s="7" t="str">
        <f t="shared" si="6"/>
        <v/>
      </c>
      <c r="O17" s="7" t="str">
        <f t="shared" si="7"/>
        <v/>
      </c>
      <c r="P17" s="7" t="str">
        <f t="shared" si="8"/>
        <v/>
      </c>
      <c r="Q17" s="7" t="str">
        <f t="shared" si="9"/>
        <v>2026-06</v>
      </c>
      <c r="R17" s="12" t="s">
        <v>114</v>
      </c>
    </row>
    <row r="18" ht="23.25" hidden="1" customHeight="1" spans="1:18">
      <c r="A18" s="7">
        <v>17</v>
      </c>
      <c r="B18" s="7" t="s">
        <v>115</v>
      </c>
      <c r="C18" s="7" t="s">
        <v>116</v>
      </c>
      <c r="D18" s="11" t="s">
        <v>117</v>
      </c>
      <c r="E18" s="6">
        <v>46170</v>
      </c>
      <c r="F18" s="6">
        <v>46171</v>
      </c>
      <c r="G18" s="7">
        <f t="shared" si="0"/>
        <v>2</v>
      </c>
      <c r="H18" s="7">
        <v>2</v>
      </c>
      <c r="I18" s="7" t="str">
        <f t="shared" si="1"/>
        <v/>
      </c>
      <c r="J18" s="7" t="str">
        <f t="shared" si="2"/>
        <v/>
      </c>
      <c r="K18" s="7" t="str">
        <f t="shared" si="3"/>
        <v>X</v>
      </c>
      <c r="L18" s="7" t="str">
        <f t="shared" si="4"/>
        <v/>
      </c>
      <c r="M18" s="7" t="str">
        <f t="shared" si="5"/>
        <v/>
      </c>
      <c r="N18" s="7" t="str">
        <f t="shared" si="6"/>
        <v/>
      </c>
      <c r="O18" s="7" t="str">
        <f t="shared" si="7"/>
        <v/>
      </c>
      <c r="P18" s="7" t="str">
        <f t="shared" si="8"/>
        <v/>
      </c>
      <c r="Q18" s="7" t="str">
        <f t="shared" si="9"/>
        <v>2026-05</v>
      </c>
      <c r="R18" s="12" t="s">
        <v>118</v>
      </c>
    </row>
    <row r="19" ht="23.25" hidden="1" customHeight="1" spans="1:18">
      <c r="A19" s="7">
        <v>18</v>
      </c>
      <c r="B19" s="7" t="s">
        <v>119</v>
      </c>
      <c r="C19" s="7" t="s">
        <v>120</v>
      </c>
      <c r="D19" s="11" t="s">
        <v>121</v>
      </c>
      <c r="E19" s="6">
        <v>46169</v>
      </c>
      <c r="F19" s="6">
        <v>46170</v>
      </c>
      <c r="G19" s="7">
        <f t="shared" si="0"/>
        <v>2</v>
      </c>
      <c r="H19" s="7">
        <v>2</v>
      </c>
      <c r="I19" s="7" t="str">
        <f t="shared" si="1"/>
        <v/>
      </c>
      <c r="J19" s="7" t="str">
        <f t="shared" si="2"/>
        <v/>
      </c>
      <c r="K19" s="7" t="str">
        <f t="shared" si="3"/>
        <v/>
      </c>
      <c r="L19" s="7" t="str">
        <f t="shared" si="4"/>
        <v>X</v>
      </c>
      <c r="M19" s="7" t="str">
        <f t="shared" si="5"/>
        <v/>
      </c>
      <c r="N19" s="7" t="str">
        <f t="shared" si="6"/>
        <v/>
      </c>
      <c r="O19" s="7" t="str">
        <f t="shared" si="7"/>
        <v/>
      </c>
      <c r="P19" s="7" t="str">
        <f t="shared" si="8"/>
        <v/>
      </c>
      <c r="Q19" s="7" t="str">
        <f t="shared" si="9"/>
        <v>2026-05</v>
      </c>
      <c r="R19" s="12" t="s">
        <v>122</v>
      </c>
    </row>
    <row r="20" ht="23.25" hidden="1" customHeight="1" spans="1:18">
      <c r="A20" s="7">
        <v>19</v>
      </c>
      <c r="B20" s="7" t="s">
        <v>123</v>
      </c>
      <c r="C20" s="7" t="s">
        <v>124</v>
      </c>
      <c r="D20" s="11" t="s">
        <v>125</v>
      </c>
      <c r="E20" s="6">
        <v>46167</v>
      </c>
      <c r="F20" s="6">
        <v>46168</v>
      </c>
      <c r="G20" s="7">
        <f t="shared" si="0"/>
        <v>2</v>
      </c>
      <c r="H20" s="7">
        <v>2</v>
      </c>
      <c r="I20" s="7" t="str">
        <f t="shared" si="1"/>
        <v/>
      </c>
      <c r="J20" s="7" t="str">
        <f t="shared" si="2"/>
        <v/>
      </c>
      <c r="K20" s="7" t="str">
        <f t="shared" si="3"/>
        <v>X</v>
      </c>
      <c r="L20" s="7" t="str">
        <f t="shared" si="4"/>
        <v/>
      </c>
      <c r="M20" s="7" t="str">
        <f t="shared" si="5"/>
        <v/>
      </c>
      <c r="N20" s="7" t="str">
        <f t="shared" si="6"/>
        <v/>
      </c>
      <c r="O20" s="7" t="str">
        <f t="shared" si="7"/>
        <v/>
      </c>
      <c r="P20" s="7" t="str">
        <f t="shared" si="8"/>
        <v/>
      </c>
      <c r="Q20" s="7" t="str">
        <f t="shared" si="9"/>
        <v>2026-05</v>
      </c>
      <c r="R20" s="12" t="s">
        <v>126</v>
      </c>
    </row>
    <row r="21" ht="15" hidden="1" customHeight="1" spans="1:18">
      <c r="A21" s="7">
        <v>20</v>
      </c>
      <c r="B21" s="7" t="s">
        <v>127</v>
      </c>
      <c r="C21" s="7" t="s">
        <v>128</v>
      </c>
      <c r="D21" s="11" t="s">
        <v>129</v>
      </c>
      <c r="E21" s="6">
        <v>46167</v>
      </c>
      <c r="F21" s="6">
        <v>46167</v>
      </c>
      <c r="G21" s="7">
        <f t="shared" si="0"/>
        <v>1</v>
      </c>
      <c r="H21" s="7">
        <v>1</v>
      </c>
      <c r="I21" s="7" t="str">
        <f t="shared" si="1"/>
        <v/>
      </c>
      <c r="J21" s="7" t="str">
        <f t="shared" si="2"/>
        <v/>
      </c>
      <c r="K21" s="7" t="str">
        <f t="shared" si="3"/>
        <v/>
      </c>
      <c r="L21" s="7" t="str">
        <f t="shared" si="4"/>
        <v>X</v>
      </c>
      <c r="M21" s="7" t="str">
        <f t="shared" si="5"/>
        <v/>
      </c>
      <c r="N21" s="7" t="str">
        <f t="shared" si="6"/>
        <v>X</v>
      </c>
      <c r="O21" s="7" t="str">
        <f t="shared" si="7"/>
        <v/>
      </c>
      <c r="P21" s="7" t="str">
        <f t="shared" si="8"/>
        <v/>
      </c>
      <c r="Q21" s="7" t="str">
        <f t="shared" si="9"/>
        <v>2026-05</v>
      </c>
      <c r="R21" s="12" t="s">
        <v>130</v>
      </c>
    </row>
    <row r="22" ht="45.75" hidden="1" customHeight="1" spans="1:18">
      <c r="A22" s="7">
        <v>21</v>
      </c>
      <c r="B22" s="7" t="s">
        <v>131</v>
      </c>
      <c r="C22" s="7" t="s">
        <v>132</v>
      </c>
      <c r="D22" s="11" t="s">
        <v>133</v>
      </c>
      <c r="E22" s="6">
        <v>46162</v>
      </c>
      <c r="F22" s="6">
        <v>46168</v>
      </c>
      <c r="G22" s="7">
        <f t="shared" si="0"/>
        <v>7</v>
      </c>
      <c r="H22" s="7">
        <v>3</v>
      </c>
      <c r="I22" s="7" t="str">
        <f t="shared" si="1"/>
        <v/>
      </c>
      <c r="J22" s="7" t="str">
        <f t="shared" si="2"/>
        <v/>
      </c>
      <c r="K22" s="7" t="str">
        <f t="shared" si="3"/>
        <v/>
      </c>
      <c r="L22" s="7" t="str">
        <f t="shared" si="4"/>
        <v>X</v>
      </c>
      <c r="M22" s="7" t="str">
        <f t="shared" si="5"/>
        <v/>
      </c>
      <c r="N22" s="7" t="str">
        <f t="shared" si="6"/>
        <v>X</v>
      </c>
      <c r="O22" s="7" t="str">
        <f t="shared" si="7"/>
        <v/>
      </c>
      <c r="P22" s="7" t="str">
        <f t="shared" si="8"/>
        <v/>
      </c>
      <c r="Q22" s="7" t="str">
        <f t="shared" si="9"/>
        <v>2026-05</v>
      </c>
      <c r="R22" s="12" t="s">
        <v>134</v>
      </c>
    </row>
    <row r="23" ht="23.25" hidden="1" customHeight="1" spans="1:18">
      <c r="A23" s="7">
        <v>22</v>
      </c>
      <c r="B23" s="7" t="s">
        <v>135</v>
      </c>
      <c r="C23" s="7" t="s">
        <v>136</v>
      </c>
      <c r="D23" s="11" t="s">
        <v>137</v>
      </c>
      <c r="E23" s="6">
        <v>46168</v>
      </c>
      <c r="F23" s="6">
        <v>46169</v>
      </c>
      <c r="G23" s="7">
        <f t="shared" si="0"/>
        <v>2</v>
      </c>
      <c r="H23" s="7">
        <v>2</v>
      </c>
      <c r="I23" s="7" t="str">
        <f t="shared" si="1"/>
        <v/>
      </c>
      <c r="J23" s="7" t="str">
        <f t="shared" si="2"/>
        <v/>
      </c>
      <c r="K23" s="7" t="str">
        <f t="shared" si="3"/>
        <v/>
      </c>
      <c r="L23" s="7" t="str">
        <f t="shared" si="4"/>
        <v/>
      </c>
      <c r="M23" s="7" t="str">
        <f t="shared" si="5"/>
        <v/>
      </c>
      <c r="N23" s="7" t="str">
        <f t="shared" si="6"/>
        <v/>
      </c>
      <c r="O23" s="7" t="str">
        <f t="shared" si="7"/>
        <v/>
      </c>
      <c r="P23" s="7" t="str">
        <f t="shared" si="8"/>
        <v/>
      </c>
      <c r="Q23" s="7" t="str">
        <f t="shared" si="9"/>
        <v>2026-05</v>
      </c>
      <c r="R23" s="12" t="s">
        <v>138</v>
      </c>
    </row>
    <row r="24" ht="45.75" hidden="1" customHeight="1" spans="1:18">
      <c r="A24" s="7">
        <v>23</v>
      </c>
      <c r="B24" s="7" t="s">
        <v>139</v>
      </c>
      <c r="C24" s="7" t="s">
        <v>140</v>
      </c>
      <c r="D24" s="11" t="s">
        <v>141</v>
      </c>
      <c r="E24" s="6">
        <v>46155</v>
      </c>
      <c r="F24" s="6">
        <v>46156</v>
      </c>
      <c r="G24" s="7">
        <f t="shared" si="0"/>
        <v>2</v>
      </c>
      <c r="H24" s="7">
        <v>2</v>
      </c>
      <c r="I24" s="7" t="str">
        <f t="shared" si="1"/>
        <v/>
      </c>
      <c r="J24" s="7" t="str">
        <f t="shared" si="2"/>
        <v/>
      </c>
      <c r="K24" s="7" t="str">
        <f t="shared" si="3"/>
        <v/>
      </c>
      <c r="L24" s="7" t="str">
        <f t="shared" si="4"/>
        <v/>
      </c>
      <c r="M24" s="7" t="str">
        <f t="shared" si="5"/>
        <v>X</v>
      </c>
      <c r="N24" s="7" t="str">
        <f t="shared" si="6"/>
        <v/>
      </c>
      <c r="O24" s="7" t="str">
        <f t="shared" si="7"/>
        <v/>
      </c>
      <c r="P24" s="7" t="str">
        <f t="shared" si="8"/>
        <v/>
      </c>
      <c r="Q24" s="7" t="str">
        <f t="shared" si="9"/>
        <v>2026-05</v>
      </c>
      <c r="R24" s="12" t="s">
        <v>142</v>
      </c>
    </row>
    <row r="25" ht="68.25" hidden="1" customHeight="1" spans="1:18">
      <c r="A25" s="7">
        <v>24</v>
      </c>
      <c r="B25" s="7" t="s">
        <v>143</v>
      </c>
      <c r="C25" s="7" t="s">
        <v>144</v>
      </c>
      <c r="D25" s="11" t="s">
        <v>145</v>
      </c>
      <c r="E25" s="6">
        <v>46160</v>
      </c>
      <c r="F25" s="6">
        <v>46168</v>
      </c>
      <c r="G25" s="7">
        <f t="shared" si="0"/>
        <v>9</v>
      </c>
      <c r="H25" s="7">
        <v>6</v>
      </c>
      <c r="I25" s="7" t="str">
        <f t="shared" si="1"/>
        <v/>
      </c>
      <c r="J25" s="7" t="str">
        <f t="shared" si="2"/>
        <v/>
      </c>
      <c r="K25" s="7" t="str">
        <f t="shared" si="3"/>
        <v>X</v>
      </c>
      <c r="L25" s="7" t="str">
        <f t="shared" si="4"/>
        <v/>
      </c>
      <c r="M25" s="7" t="str">
        <f t="shared" si="5"/>
        <v/>
      </c>
      <c r="N25" s="7" t="str">
        <f t="shared" si="6"/>
        <v/>
      </c>
      <c r="O25" s="7" t="str">
        <f t="shared" si="7"/>
        <v>X</v>
      </c>
      <c r="P25" s="7" t="str">
        <f t="shared" si="8"/>
        <v/>
      </c>
      <c r="Q25" s="7" t="str">
        <f t="shared" si="9"/>
        <v>2026-05</v>
      </c>
      <c r="R25" s="12" t="s">
        <v>146</v>
      </c>
    </row>
    <row r="26" ht="23.25" hidden="1" customHeight="1" spans="1:18">
      <c r="A26" s="7">
        <v>25</v>
      </c>
      <c r="B26" s="7" t="s">
        <v>147</v>
      </c>
      <c r="C26" s="7" t="s">
        <v>148</v>
      </c>
      <c r="D26" s="11" t="s">
        <v>149</v>
      </c>
      <c r="E26" s="6">
        <v>46156</v>
      </c>
      <c r="F26" s="6">
        <v>46157</v>
      </c>
      <c r="G26" s="7">
        <f t="shared" si="0"/>
        <v>2</v>
      </c>
      <c r="H26" s="7">
        <v>2</v>
      </c>
      <c r="I26" s="7" t="str">
        <f t="shared" si="1"/>
        <v/>
      </c>
      <c r="J26" s="7" t="str">
        <f t="shared" si="2"/>
        <v/>
      </c>
      <c r="K26" s="7" t="str">
        <f t="shared" si="3"/>
        <v>X</v>
      </c>
      <c r="L26" s="7" t="str">
        <f t="shared" si="4"/>
        <v/>
      </c>
      <c r="M26" s="7" t="str">
        <f t="shared" si="5"/>
        <v/>
      </c>
      <c r="N26" s="7" t="str">
        <f t="shared" si="6"/>
        <v/>
      </c>
      <c r="O26" s="7" t="str">
        <f t="shared" si="7"/>
        <v/>
      </c>
      <c r="P26" s="7" t="str">
        <f t="shared" si="8"/>
        <v/>
      </c>
      <c r="Q26" s="7" t="str">
        <f t="shared" si="9"/>
        <v>2026-05</v>
      </c>
      <c r="R26" s="12" t="s">
        <v>150</v>
      </c>
    </row>
    <row r="27" ht="15" hidden="1" customHeight="1" spans="1:18">
      <c r="A27" s="7">
        <v>26</v>
      </c>
      <c r="B27" s="7" t="s">
        <v>151</v>
      </c>
      <c r="C27" s="7" t="s">
        <v>152</v>
      </c>
      <c r="D27" s="11" t="s">
        <v>153</v>
      </c>
      <c r="E27" s="6">
        <v>46154</v>
      </c>
      <c r="F27" s="6">
        <v>46154</v>
      </c>
      <c r="G27" s="7">
        <f t="shared" si="0"/>
        <v>1</v>
      </c>
      <c r="H27" s="7">
        <v>1</v>
      </c>
      <c r="I27" s="7" t="str">
        <f t="shared" si="1"/>
        <v/>
      </c>
      <c r="J27" s="7" t="str">
        <f t="shared" si="2"/>
        <v/>
      </c>
      <c r="K27" s="7" t="str">
        <f t="shared" si="3"/>
        <v/>
      </c>
      <c r="L27" s="7" t="str">
        <f t="shared" si="4"/>
        <v/>
      </c>
      <c r="M27" s="7" t="str">
        <f t="shared" si="5"/>
        <v/>
      </c>
      <c r="N27" s="7" t="str">
        <f t="shared" si="6"/>
        <v/>
      </c>
      <c r="O27" s="7" t="str">
        <f t="shared" si="7"/>
        <v/>
      </c>
      <c r="P27" s="7" t="str">
        <f t="shared" si="8"/>
        <v>X</v>
      </c>
      <c r="Q27" s="7" t="str">
        <f t="shared" si="9"/>
        <v>2026-05</v>
      </c>
      <c r="R27" s="12" t="s">
        <v>154</v>
      </c>
    </row>
    <row r="28" ht="23.25" hidden="1" customHeight="1" spans="1:18">
      <c r="A28" s="7">
        <v>27</v>
      </c>
      <c r="B28" s="7" t="s">
        <v>155</v>
      </c>
      <c r="C28" s="7" t="s">
        <v>156</v>
      </c>
      <c r="D28" s="11" t="s">
        <v>157</v>
      </c>
      <c r="E28" s="6">
        <v>46153</v>
      </c>
      <c r="F28" s="6">
        <v>46154</v>
      </c>
      <c r="G28" s="7">
        <f t="shared" si="0"/>
        <v>2</v>
      </c>
      <c r="H28" s="7">
        <v>2</v>
      </c>
      <c r="I28" s="7" t="str">
        <f t="shared" si="1"/>
        <v/>
      </c>
      <c r="J28" s="7" t="str">
        <f t="shared" si="2"/>
        <v/>
      </c>
      <c r="K28" s="7" t="str">
        <f t="shared" si="3"/>
        <v/>
      </c>
      <c r="L28" s="7" t="str">
        <f t="shared" si="4"/>
        <v/>
      </c>
      <c r="M28" s="7" t="str">
        <f t="shared" si="5"/>
        <v/>
      </c>
      <c r="N28" s="7" t="str">
        <f t="shared" si="6"/>
        <v/>
      </c>
      <c r="O28" s="7" t="str">
        <f t="shared" si="7"/>
        <v/>
      </c>
      <c r="P28" s="7" t="str">
        <f t="shared" si="8"/>
        <v/>
      </c>
      <c r="Q28" s="7" t="str">
        <f t="shared" si="9"/>
        <v>2026-05</v>
      </c>
      <c r="R28" s="12" t="s">
        <v>158</v>
      </c>
    </row>
    <row r="29" ht="23.25" hidden="1" customHeight="1" spans="1:18">
      <c r="A29" s="7">
        <v>28</v>
      </c>
      <c r="B29" s="7" t="s">
        <v>159</v>
      </c>
      <c r="C29" s="7" t="s">
        <v>160</v>
      </c>
      <c r="D29" s="11" t="s">
        <v>161</v>
      </c>
      <c r="E29" s="6">
        <v>46149</v>
      </c>
      <c r="F29" s="6">
        <v>46150</v>
      </c>
      <c r="G29" s="7">
        <f t="shared" si="0"/>
        <v>2</v>
      </c>
      <c r="H29" s="7">
        <v>2</v>
      </c>
      <c r="I29" s="7" t="str">
        <f t="shared" si="1"/>
        <v/>
      </c>
      <c r="J29" s="7" t="str">
        <f t="shared" si="2"/>
        <v/>
      </c>
      <c r="K29" s="7" t="str">
        <f t="shared" si="3"/>
        <v/>
      </c>
      <c r="L29" s="7" t="str">
        <f t="shared" si="4"/>
        <v/>
      </c>
      <c r="M29" s="7" t="str">
        <f t="shared" si="5"/>
        <v/>
      </c>
      <c r="N29" s="7" t="str">
        <f t="shared" si="6"/>
        <v/>
      </c>
      <c r="O29" s="7" t="str">
        <f t="shared" si="7"/>
        <v/>
      </c>
      <c r="P29" s="7" t="str">
        <f t="shared" si="8"/>
        <v/>
      </c>
      <c r="Q29" s="7" t="str">
        <f t="shared" si="9"/>
        <v>2026-05</v>
      </c>
      <c r="R29" s="12" t="s">
        <v>162</v>
      </c>
    </row>
    <row r="30" ht="90.75" hidden="1" customHeight="1" spans="1:18">
      <c r="A30" s="7">
        <v>29</v>
      </c>
      <c r="B30" s="7" t="s">
        <v>163</v>
      </c>
      <c r="C30" s="7" t="s">
        <v>160</v>
      </c>
      <c r="D30" s="11" t="s">
        <v>164</v>
      </c>
      <c r="E30" s="6">
        <v>46148</v>
      </c>
      <c r="F30" s="6">
        <v>46157</v>
      </c>
      <c r="G30" s="7">
        <f t="shared" si="0"/>
        <v>10</v>
      </c>
      <c r="H30" s="7">
        <v>7</v>
      </c>
      <c r="I30" s="7" t="str">
        <f t="shared" si="1"/>
        <v/>
      </c>
      <c r="J30" s="7" t="str">
        <f t="shared" si="2"/>
        <v/>
      </c>
      <c r="K30" s="7" t="str">
        <f t="shared" si="3"/>
        <v/>
      </c>
      <c r="L30" s="7" t="str">
        <f t="shared" si="4"/>
        <v/>
      </c>
      <c r="M30" s="7" t="str">
        <f t="shared" si="5"/>
        <v/>
      </c>
      <c r="N30" s="7" t="str">
        <f t="shared" si="6"/>
        <v/>
      </c>
      <c r="O30" s="7" t="str">
        <f t="shared" si="7"/>
        <v/>
      </c>
      <c r="P30" s="7" t="str">
        <f t="shared" si="8"/>
        <v/>
      </c>
      <c r="Q30" s="7" t="str">
        <f t="shared" si="9"/>
        <v>2026-05</v>
      </c>
      <c r="R30" s="12" t="s">
        <v>165</v>
      </c>
    </row>
    <row r="31" ht="45.75" hidden="1" customHeight="1" spans="1:18">
      <c r="A31" s="7">
        <v>30</v>
      </c>
      <c r="B31" s="7" t="s">
        <v>166</v>
      </c>
      <c r="C31" s="7" t="s">
        <v>167</v>
      </c>
      <c r="D31" s="11" t="s">
        <v>168</v>
      </c>
      <c r="E31" s="6">
        <v>46146</v>
      </c>
      <c r="F31" s="6">
        <v>46148</v>
      </c>
      <c r="G31" s="7">
        <f t="shared" si="0"/>
        <v>3</v>
      </c>
      <c r="H31" s="7">
        <v>3</v>
      </c>
      <c r="I31" s="7" t="str">
        <f t="shared" si="1"/>
        <v/>
      </c>
      <c r="J31" s="7" t="str">
        <f t="shared" si="2"/>
        <v/>
      </c>
      <c r="K31" s="7" t="str">
        <f t="shared" si="3"/>
        <v/>
      </c>
      <c r="L31" s="7" t="str">
        <f t="shared" si="4"/>
        <v/>
      </c>
      <c r="M31" s="7" t="str">
        <f t="shared" si="5"/>
        <v>X</v>
      </c>
      <c r="N31" s="7" t="str">
        <f t="shared" si="6"/>
        <v/>
      </c>
      <c r="O31" s="7" t="str">
        <f t="shared" si="7"/>
        <v/>
      </c>
      <c r="P31" s="7" t="str">
        <f t="shared" si="8"/>
        <v/>
      </c>
      <c r="Q31" s="7" t="str">
        <f t="shared" si="9"/>
        <v>2026-05</v>
      </c>
      <c r="R31" s="12" t="s">
        <v>169</v>
      </c>
    </row>
    <row r="32" ht="15" hidden="1" customHeight="1" spans="1:18">
      <c r="A32" s="7">
        <v>31</v>
      </c>
      <c r="B32" s="7" t="s">
        <v>170</v>
      </c>
      <c r="C32" s="7" t="s">
        <v>74</v>
      </c>
      <c r="D32" s="11" t="s">
        <v>171</v>
      </c>
      <c r="E32" s="6">
        <v>46146</v>
      </c>
      <c r="F32" s="6">
        <v>46146</v>
      </c>
      <c r="G32" s="7">
        <f t="shared" si="0"/>
        <v>1</v>
      </c>
      <c r="H32" s="7">
        <v>1</v>
      </c>
      <c r="I32" s="7" t="str">
        <f t="shared" si="1"/>
        <v/>
      </c>
      <c r="J32" s="7" t="str">
        <f t="shared" si="2"/>
        <v/>
      </c>
      <c r="K32" s="7" t="str">
        <f t="shared" si="3"/>
        <v/>
      </c>
      <c r="L32" s="7" t="str">
        <f t="shared" si="4"/>
        <v>X</v>
      </c>
      <c r="M32" s="7" t="str">
        <f t="shared" si="5"/>
        <v/>
      </c>
      <c r="N32" s="7" t="str">
        <f t="shared" si="6"/>
        <v/>
      </c>
      <c r="O32" s="7" t="str">
        <f t="shared" si="7"/>
        <v/>
      </c>
      <c r="P32" s="7" t="str">
        <f t="shared" si="8"/>
        <v/>
      </c>
      <c r="Q32" s="7" t="str">
        <f t="shared" si="9"/>
        <v>2026-05</v>
      </c>
      <c r="R32" s="12" t="s">
        <v>172</v>
      </c>
    </row>
    <row r="33" ht="23.25" hidden="1" customHeight="1" spans="1:18">
      <c r="A33" s="7">
        <v>32</v>
      </c>
      <c r="B33" s="7" t="s">
        <v>173</v>
      </c>
      <c r="C33" s="7" t="s">
        <v>160</v>
      </c>
      <c r="D33" s="11" t="s">
        <v>174</v>
      </c>
      <c r="E33" s="6">
        <v>46136</v>
      </c>
      <c r="F33" s="6">
        <v>46146</v>
      </c>
      <c r="G33" s="7">
        <f t="shared" si="0"/>
        <v>11</v>
      </c>
      <c r="H33" s="7">
        <v>2</v>
      </c>
      <c r="I33" s="7" t="str">
        <f t="shared" si="1"/>
        <v/>
      </c>
      <c r="J33" s="7" t="str">
        <f t="shared" si="2"/>
        <v/>
      </c>
      <c r="K33" s="7" t="str">
        <f t="shared" si="3"/>
        <v/>
      </c>
      <c r="L33" s="7" t="str">
        <f t="shared" si="4"/>
        <v>X</v>
      </c>
      <c r="M33" s="7" t="str">
        <f t="shared" si="5"/>
        <v/>
      </c>
      <c r="N33" s="7" t="str">
        <f t="shared" si="6"/>
        <v/>
      </c>
      <c r="O33" s="7" t="str">
        <f t="shared" si="7"/>
        <v/>
      </c>
      <c r="P33" s="7" t="str">
        <f t="shared" si="8"/>
        <v/>
      </c>
      <c r="Q33" s="7" t="str">
        <f t="shared" si="9"/>
        <v>2026-04</v>
      </c>
      <c r="R33" s="12" t="s">
        <v>175</v>
      </c>
    </row>
    <row r="34" ht="23.25" hidden="1" customHeight="1" spans="1:18">
      <c r="A34" s="7">
        <v>33</v>
      </c>
      <c r="B34" s="7" t="s">
        <v>176</v>
      </c>
      <c r="C34" s="7" t="s">
        <v>177</v>
      </c>
      <c r="D34" s="11" t="s">
        <v>178</v>
      </c>
      <c r="E34" s="6">
        <v>46127</v>
      </c>
      <c r="F34" s="6">
        <v>46127</v>
      </c>
      <c r="G34" s="7">
        <f t="shared" si="0"/>
        <v>1</v>
      </c>
      <c r="H34" s="7">
        <v>2</v>
      </c>
      <c r="I34" s="7" t="str">
        <f t="shared" si="1"/>
        <v/>
      </c>
      <c r="J34" s="7" t="str">
        <f t="shared" si="2"/>
        <v/>
      </c>
      <c r="K34" s="7" t="str">
        <f t="shared" si="3"/>
        <v/>
      </c>
      <c r="L34" s="7" t="str">
        <f t="shared" si="4"/>
        <v/>
      </c>
      <c r="M34" s="7" t="str">
        <f t="shared" si="5"/>
        <v>X</v>
      </c>
      <c r="N34" s="7" t="str">
        <f t="shared" si="6"/>
        <v/>
      </c>
      <c r="O34" s="7" t="str">
        <f t="shared" si="7"/>
        <v>X</v>
      </c>
      <c r="P34" s="7" t="str">
        <f t="shared" si="8"/>
        <v/>
      </c>
      <c r="Q34" s="7" t="str">
        <f t="shared" si="9"/>
        <v>2026-04</v>
      </c>
      <c r="R34" s="12" t="s">
        <v>179</v>
      </c>
    </row>
    <row r="35" ht="90.75" customHeight="1" spans="1:18">
      <c r="A35" s="7">
        <v>34</v>
      </c>
      <c r="B35" s="7" t="s">
        <v>180</v>
      </c>
      <c r="C35" s="7" t="s">
        <v>167</v>
      </c>
      <c r="D35" s="11" t="s">
        <v>181</v>
      </c>
      <c r="E35" s="6">
        <v>46128</v>
      </c>
      <c r="F35" s="6">
        <v>46136</v>
      </c>
      <c r="G35" s="7">
        <f t="shared" si="0"/>
        <v>9</v>
      </c>
      <c r="H35" s="7">
        <v>8</v>
      </c>
      <c r="I35" s="7" t="str">
        <f t="shared" si="1"/>
        <v>X</v>
      </c>
      <c r="J35" s="7" t="str">
        <f t="shared" si="2"/>
        <v/>
      </c>
      <c r="K35" s="7" t="str">
        <f t="shared" si="3"/>
        <v/>
      </c>
      <c r="L35" s="7" t="str">
        <f t="shared" si="4"/>
        <v/>
      </c>
      <c r="M35" s="7" t="str">
        <f t="shared" si="5"/>
        <v/>
      </c>
      <c r="N35" s="7" t="str">
        <f t="shared" si="6"/>
        <v/>
      </c>
      <c r="O35" s="7" t="str">
        <f t="shared" si="7"/>
        <v/>
      </c>
      <c r="P35" s="7" t="str">
        <f t="shared" si="8"/>
        <v/>
      </c>
      <c r="Q35" s="7" t="str">
        <f t="shared" si="9"/>
        <v>2026-04</v>
      </c>
      <c r="R35" s="12" t="s">
        <v>182</v>
      </c>
    </row>
    <row r="36" ht="23.25" hidden="1" customHeight="1" spans="1:18">
      <c r="A36" s="7">
        <v>35</v>
      </c>
      <c r="B36" s="7" t="s">
        <v>183</v>
      </c>
      <c r="C36" s="7" t="s">
        <v>184</v>
      </c>
      <c r="D36" s="11" t="s">
        <v>185</v>
      </c>
      <c r="E36" s="6">
        <v>46123</v>
      </c>
      <c r="F36" s="6">
        <v>46125</v>
      </c>
      <c r="G36" s="7">
        <f t="shared" si="0"/>
        <v>3</v>
      </c>
      <c r="H36" s="7">
        <v>2</v>
      </c>
      <c r="I36" s="7" t="str">
        <f t="shared" si="1"/>
        <v/>
      </c>
      <c r="J36" s="7" t="str">
        <f t="shared" si="2"/>
        <v/>
      </c>
      <c r="K36" s="7" t="str">
        <f t="shared" si="3"/>
        <v>X</v>
      </c>
      <c r="L36" s="7" t="str">
        <f t="shared" si="4"/>
        <v/>
      </c>
      <c r="M36" s="7" t="str">
        <f t="shared" si="5"/>
        <v/>
      </c>
      <c r="N36" s="7" t="str">
        <f t="shared" si="6"/>
        <v/>
      </c>
      <c r="O36" s="7" t="str">
        <f t="shared" si="7"/>
        <v/>
      </c>
      <c r="P36" s="7" t="str">
        <f t="shared" si="8"/>
        <v/>
      </c>
      <c r="Q36" s="7" t="str">
        <f t="shared" si="9"/>
        <v>2026-04</v>
      </c>
      <c r="R36" s="12" t="s">
        <v>186</v>
      </c>
    </row>
    <row r="37" ht="34.5" hidden="1" customHeight="1" spans="1:18">
      <c r="A37" s="7">
        <v>36</v>
      </c>
      <c r="B37" s="7" t="s">
        <v>187</v>
      </c>
      <c r="C37" s="7" t="s">
        <v>188</v>
      </c>
      <c r="D37" s="11" t="s">
        <v>189</v>
      </c>
      <c r="E37" s="6">
        <v>46121</v>
      </c>
      <c r="F37" s="6">
        <v>46125</v>
      </c>
      <c r="G37" s="7">
        <f t="shared" si="0"/>
        <v>5</v>
      </c>
      <c r="H37" s="7">
        <v>3</v>
      </c>
      <c r="I37" s="7" t="str">
        <f t="shared" si="1"/>
        <v/>
      </c>
      <c r="J37" s="7" t="str">
        <f t="shared" si="2"/>
        <v/>
      </c>
      <c r="K37" s="7" t="str">
        <f t="shared" si="3"/>
        <v/>
      </c>
      <c r="L37" s="7" t="str">
        <f t="shared" si="4"/>
        <v/>
      </c>
      <c r="M37" s="7" t="str">
        <f t="shared" si="5"/>
        <v/>
      </c>
      <c r="N37" s="7" t="str">
        <f t="shared" si="6"/>
        <v/>
      </c>
      <c r="O37" s="7" t="str">
        <f t="shared" si="7"/>
        <v/>
      </c>
      <c r="P37" s="7" t="str">
        <f t="shared" si="8"/>
        <v>X</v>
      </c>
      <c r="Q37" s="7" t="str">
        <f t="shared" si="9"/>
        <v>2026-04</v>
      </c>
      <c r="R37" s="12" t="s">
        <v>190</v>
      </c>
    </row>
    <row r="38" ht="23.25" hidden="1" customHeight="1" spans="1:18">
      <c r="A38" s="7">
        <v>37</v>
      </c>
      <c r="B38" s="7" t="s">
        <v>191</v>
      </c>
      <c r="C38" s="7" t="s">
        <v>58</v>
      </c>
      <c r="D38" s="11" t="s">
        <v>192</v>
      </c>
      <c r="E38" s="6">
        <v>46120</v>
      </c>
      <c r="F38" s="6">
        <v>46121</v>
      </c>
      <c r="G38" s="7">
        <f t="shared" si="0"/>
        <v>2</v>
      </c>
      <c r="H38" s="7">
        <v>2</v>
      </c>
      <c r="I38" s="7" t="str">
        <f t="shared" si="1"/>
        <v/>
      </c>
      <c r="J38" s="7" t="str">
        <f t="shared" si="2"/>
        <v/>
      </c>
      <c r="K38" s="7" t="str">
        <f t="shared" si="3"/>
        <v/>
      </c>
      <c r="L38" s="7" t="str">
        <f t="shared" si="4"/>
        <v/>
      </c>
      <c r="M38" s="7" t="str">
        <f t="shared" si="5"/>
        <v>X</v>
      </c>
      <c r="N38" s="7" t="str">
        <f t="shared" si="6"/>
        <v/>
      </c>
      <c r="O38" s="7" t="str">
        <f t="shared" si="7"/>
        <v/>
      </c>
      <c r="P38" s="7" t="str">
        <f t="shared" si="8"/>
        <v/>
      </c>
      <c r="Q38" s="7" t="str">
        <f t="shared" si="9"/>
        <v>2026-04</v>
      </c>
      <c r="R38" s="12" t="s">
        <v>193</v>
      </c>
    </row>
    <row r="39" ht="23.25" hidden="1" customHeight="1" spans="1:18">
      <c r="A39" s="7">
        <v>38</v>
      </c>
      <c r="B39" s="7" t="s">
        <v>194</v>
      </c>
      <c r="C39" s="7" t="s">
        <v>195</v>
      </c>
      <c r="D39" s="11" t="s">
        <v>196</v>
      </c>
      <c r="E39" s="6">
        <v>46118</v>
      </c>
      <c r="F39" s="6">
        <v>46119</v>
      </c>
      <c r="G39" s="7">
        <f t="shared" si="0"/>
        <v>2</v>
      </c>
      <c r="H39" s="7">
        <v>2</v>
      </c>
      <c r="I39" s="7" t="str">
        <f t="shared" si="1"/>
        <v/>
      </c>
      <c r="J39" s="7" t="str">
        <f t="shared" si="2"/>
        <v/>
      </c>
      <c r="K39" s="7" t="str">
        <f t="shared" si="3"/>
        <v/>
      </c>
      <c r="L39" s="7" t="str">
        <f t="shared" si="4"/>
        <v/>
      </c>
      <c r="M39" s="7" t="str">
        <f t="shared" si="5"/>
        <v>X</v>
      </c>
      <c r="N39" s="7" t="str">
        <f t="shared" si="6"/>
        <v/>
      </c>
      <c r="O39" s="7" t="str">
        <f t="shared" si="7"/>
        <v/>
      </c>
      <c r="P39" s="7" t="str">
        <f t="shared" si="8"/>
        <v/>
      </c>
      <c r="Q39" s="7" t="str">
        <f t="shared" si="9"/>
        <v>2026-04</v>
      </c>
      <c r="R39" s="12" t="s">
        <v>197</v>
      </c>
    </row>
    <row r="40" ht="34.5" hidden="1" customHeight="1" spans="1:18">
      <c r="A40" s="7">
        <v>39</v>
      </c>
      <c r="B40" s="7" t="s">
        <v>198</v>
      </c>
      <c r="C40" s="7" t="s">
        <v>199</v>
      </c>
      <c r="D40" s="11" t="s">
        <v>200</v>
      </c>
      <c r="E40" s="6">
        <v>46121</v>
      </c>
      <c r="F40" s="6">
        <v>46123</v>
      </c>
      <c r="G40" s="7">
        <f t="shared" si="0"/>
        <v>3</v>
      </c>
      <c r="H40" s="7">
        <v>3</v>
      </c>
      <c r="I40" s="7" t="str">
        <f t="shared" si="1"/>
        <v/>
      </c>
      <c r="J40" s="7" t="str">
        <f t="shared" si="2"/>
        <v/>
      </c>
      <c r="K40" s="7" t="str">
        <f t="shared" si="3"/>
        <v/>
      </c>
      <c r="L40" s="7" t="str">
        <f t="shared" si="4"/>
        <v/>
      </c>
      <c r="M40" s="7" t="str">
        <f t="shared" si="5"/>
        <v/>
      </c>
      <c r="N40" s="7" t="str">
        <f t="shared" si="6"/>
        <v/>
      </c>
      <c r="O40" s="7" t="str">
        <f t="shared" si="7"/>
        <v>X</v>
      </c>
      <c r="P40" s="7" t="str">
        <f t="shared" si="8"/>
        <v/>
      </c>
      <c r="Q40" s="7" t="str">
        <f t="shared" si="9"/>
        <v>2026-04</v>
      </c>
      <c r="R40" s="12" t="s">
        <v>201</v>
      </c>
    </row>
    <row r="41" ht="15" hidden="1" customHeight="1" spans="1:18">
      <c r="A41" s="7">
        <v>40</v>
      </c>
      <c r="B41" s="7" t="s">
        <v>202</v>
      </c>
      <c r="C41" s="7" t="s">
        <v>203</v>
      </c>
      <c r="D41" s="11" t="s">
        <v>204</v>
      </c>
      <c r="E41" s="6">
        <v>46111</v>
      </c>
      <c r="F41" s="6">
        <v>46111</v>
      </c>
      <c r="G41" s="7">
        <f t="shared" si="0"/>
        <v>1</v>
      </c>
      <c r="H41" s="7">
        <v>1</v>
      </c>
      <c r="I41" s="7" t="str">
        <f t="shared" si="1"/>
        <v/>
      </c>
      <c r="J41" s="7" t="str">
        <f t="shared" si="2"/>
        <v/>
      </c>
      <c r="K41" s="7" t="str">
        <f t="shared" si="3"/>
        <v/>
      </c>
      <c r="L41" s="7" t="str">
        <f t="shared" si="4"/>
        <v/>
      </c>
      <c r="M41" s="7" t="str">
        <f t="shared" si="5"/>
        <v/>
      </c>
      <c r="N41" s="7" t="str">
        <f t="shared" si="6"/>
        <v/>
      </c>
      <c r="O41" s="7" t="str">
        <f t="shared" si="7"/>
        <v/>
      </c>
      <c r="P41" s="7" t="str">
        <f t="shared" si="8"/>
        <v/>
      </c>
      <c r="Q41" s="7" t="str">
        <f t="shared" si="9"/>
        <v>2026-03</v>
      </c>
      <c r="R41" s="12" t="s">
        <v>205</v>
      </c>
    </row>
    <row r="42" ht="45.75" hidden="1" customHeight="1" spans="1:18">
      <c r="A42" s="7">
        <v>41</v>
      </c>
      <c r="B42" s="7" t="s">
        <v>206</v>
      </c>
      <c r="C42" s="7" t="s">
        <v>124</v>
      </c>
      <c r="D42" s="11" t="s">
        <v>207</v>
      </c>
      <c r="E42" s="6">
        <v>46125</v>
      </c>
      <c r="F42" s="6">
        <v>46128</v>
      </c>
      <c r="G42" s="7">
        <f t="shared" si="0"/>
        <v>4</v>
      </c>
      <c r="H42" s="7">
        <v>4</v>
      </c>
      <c r="I42" s="7" t="str">
        <f t="shared" si="1"/>
        <v/>
      </c>
      <c r="J42" s="7" t="str">
        <f t="shared" si="2"/>
        <v/>
      </c>
      <c r="K42" s="7" t="str">
        <f t="shared" si="3"/>
        <v/>
      </c>
      <c r="L42" s="7" t="str">
        <f t="shared" si="4"/>
        <v>X</v>
      </c>
      <c r="M42" s="7" t="str">
        <f t="shared" si="5"/>
        <v/>
      </c>
      <c r="N42" s="7" t="str">
        <f t="shared" si="6"/>
        <v/>
      </c>
      <c r="O42" s="7" t="str">
        <f t="shared" si="7"/>
        <v>X</v>
      </c>
      <c r="P42" s="7" t="str">
        <f t="shared" si="8"/>
        <v/>
      </c>
      <c r="Q42" s="7" t="str">
        <f t="shared" si="9"/>
        <v>2026-04</v>
      </c>
      <c r="R42" s="12" t="s">
        <v>208</v>
      </c>
    </row>
    <row r="43" ht="15" hidden="1" customHeight="1" spans="1:18">
      <c r="A43" s="7">
        <v>42</v>
      </c>
      <c r="B43" s="7" t="s">
        <v>209</v>
      </c>
      <c r="C43" s="7" t="s">
        <v>210</v>
      </c>
      <c r="D43" s="11" t="s">
        <v>211</v>
      </c>
      <c r="E43" s="6">
        <v>46104</v>
      </c>
      <c r="F43" s="6">
        <v>46106</v>
      </c>
      <c r="G43" s="7">
        <f t="shared" si="0"/>
        <v>3</v>
      </c>
      <c r="H43" s="7">
        <v>1</v>
      </c>
      <c r="I43" s="7" t="str">
        <f t="shared" si="1"/>
        <v/>
      </c>
      <c r="J43" s="7" t="str">
        <f t="shared" si="2"/>
        <v/>
      </c>
      <c r="K43" s="7" t="str">
        <f t="shared" si="3"/>
        <v/>
      </c>
      <c r="L43" s="7" t="str">
        <f t="shared" si="4"/>
        <v>X</v>
      </c>
      <c r="M43" s="7" t="str">
        <f t="shared" si="5"/>
        <v/>
      </c>
      <c r="N43" s="7" t="str">
        <f t="shared" si="6"/>
        <v/>
      </c>
      <c r="O43" s="7" t="str">
        <f t="shared" si="7"/>
        <v/>
      </c>
      <c r="P43" s="7" t="str">
        <f t="shared" si="8"/>
        <v/>
      </c>
      <c r="Q43" s="7" t="str">
        <f t="shared" si="9"/>
        <v>2026-03</v>
      </c>
      <c r="R43" s="12" t="s">
        <v>212</v>
      </c>
    </row>
    <row r="44" ht="90.75" customHeight="1" spans="1:18">
      <c r="A44" s="7">
        <v>43</v>
      </c>
      <c r="B44" s="7" t="s">
        <v>213</v>
      </c>
      <c r="C44" s="7" t="s">
        <v>58</v>
      </c>
      <c r="D44" s="11" t="s">
        <v>214</v>
      </c>
      <c r="E44" s="6">
        <v>46108</v>
      </c>
      <c r="F44" s="6">
        <v>46115</v>
      </c>
      <c r="G44" s="7">
        <f t="shared" si="0"/>
        <v>8</v>
      </c>
      <c r="H44" s="7">
        <v>8</v>
      </c>
      <c r="I44" s="7" t="str">
        <f t="shared" si="1"/>
        <v>X</v>
      </c>
      <c r="J44" s="7" t="str">
        <f t="shared" si="2"/>
        <v/>
      </c>
      <c r="K44" s="7" t="str">
        <f t="shared" si="3"/>
        <v/>
      </c>
      <c r="L44" s="7" t="str">
        <f t="shared" si="4"/>
        <v/>
      </c>
      <c r="M44" s="7" t="str">
        <f t="shared" si="5"/>
        <v/>
      </c>
      <c r="N44" s="7" t="str">
        <f t="shared" si="6"/>
        <v/>
      </c>
      <c r="O44" s="7" t="str">
        <f t="shared" si="7"/>
        <v/>
      </c>
      <c r="P44" s="7" t="str">
        <f t="shared" si="8"/>
        <v/>
      </c>
      <c r="Q44" s="7" t="str">
        <f t="shared" si="9"/>
        <v>2026-03</v>
      </c>
      <c r="R44" s="12" t="s">
        <v>215</v>
      </c>
    </row>
    <row r="45" ht="34.5" hidden="1" customHeight="1" spans="1:18">
      <c r="A45" s="7">
        <v>44</v>
      </c>
      <c r="B45" s="7" t="s">
        <v>216</v>
      </c>
      <c r="C45" s="7" t="s">
        <v>217</v>
      </c>
      <c r="D45" s="11" t="s">
        <v>218</v>
      </c>
      <c r="E45" s="6">
        <v>46106</v>
      </c>
      <c r="F45" s="6">
        <v>46108</v>
      </c>
      <c r="G45" s="7">
        <f t="shared" si="0"/>
        <v>3</v>
      </c>
      <c r="H45" s="7">
        <v>3</v>
      </c>
      <c r="I45" s="7" t="str">
        <f t="shared" si="1"/>
        <v/>
      </c>
      <c r="J45" s="7" t="str">
        <f t="shared" si="2"/>
        <v/>
      </c>
      <c r="K45" s="7" t="str">
        <f t="shared" si="3"/>
        <v/>
      </c>
      <c r="L45" s="7" t="str">
        <f t="shared" si="4"/>
        <v>X</v>
      </c>
      <c r="M45" s="7" t="str">
        <f t="shared" si="5"/>
        <v/>
      </c>
      <c r="N45" s="7" t="str">
        <f t="shared" si="6"/>
        <v/>
      </c>
      <c r="O45" s="7" t="str">
        <f t="shared" si="7"/>
        <v/>
      </c>
      <c r="P45" s="7" t="str">
        <f t="shared" si="8"/>
        <v/>
      </c>
      <c r="Q45" s="7" t="str">
        <f t="shared" si="9"/>
        <v>2026-03</v>
      </c>
      <c r="R45" s="12" t="s">
        <v>219</v>
      </c>
    </row>
    <row r="46" ht="23.25" hidden="1" customHeight="1" spans="1:18">
      <c r="A46" s="7">
        <v>45</v>
      </c>
      <c r="B46" s="7" t="s">
        <v>220</v>
      </c>
      <c r="C46" s="7" t="s">
        <v>221</v>
      </c>
      <c r="D46" s="11" t="s">
        <v>222</v>
      </c>
      <c r="E46" s="6">
        <v>46107</v>
      </c>
      <c r="F46" s="6">
        <v>46108</v>
      </c>
      <c r="G46" s="7">
        <f t="shared" si="0"/>
        <v>2</v>
      </c>
      <c r="H46" s="7">
        <v>2</v>
      </c>
      <c r="I46" s="7" t="str">
        <f t="shared" si="1"/>
        <v/>
      </c>
      <c r="J46" s="7" t="str">
        <f t="shared" si="2"/>
        <v/>
      </c>
      <c r="K46" s="7" t="str">
        <f t="shared" si="3"/>
        <v>X</v>
      </c>
      <c r="L46" s="7" t="str">
        <f t="shared" si="4"/>
        <v/>
      </c>
      <c r="M46" s="7" t="str">
        <f t="shared" si="5"/>
        <v/>
      </c>
      <c r="N46" s="7" t="str">
        <f t="shared" si="6"/>
        <v/>
      </c>
      <c r="O46" s="7" t="str">
        <f t="shared" si="7"/>
        <v/>
      </c>
      <c r="P46" s="7" t="str">
        <f t="shared" si="8"/>
        <v/>
      </c>
      <c r="Q46" s="7" t="str">
        <f t="shared" si="9"/>
        <v>2026-03</v>
      </c>
      <c r="R46" s="12" t="s">
        <v>223</v>
      </c>
    </row>
    <row r="47" ht="15" hidden="1" customHeight="1" spans="1:18">
      <c r="A47" s="7">
        <v>46</v>
      </c>
      <c r="B47" s="7" t="s">
        <v>224</v>
      </c>
      <c r="C47" s="7" t="s">
        <v>225</v>
      </c>
      <c r="D47" s="11" t="s">
        <v>226</v>
      </c>
      <c r="E47" s="6">
        <v>46118</v>
      </c>
      <c r="F47" s="6">
        <v>46118</v>
      </c>
      <c r="G47" s="7">
        <f t="shared" si="0"/>
        <v>1</v>
      </c>
      <c r="H47" s="7">
        <v>1</v>
      </c>
      <c r="I47" s="7" t="str">
        <f t="shared" si="1"/>
        <v/>
      </c>
      <c r="J47" s="7" t="str">
        <f t="shared" si="2"/>
        <v/>
      </c>
      <c r="K47" s="7" t="str">
        <f t="shared" si="3"/>
        <v/>
      </c>
      <c r="L47" s="7" t="str">
        <f t="shared" si="4"/>
        <v/>
      </c>
      <c r="M47" s="7" t="str">
        <f t="shared" si="5"/>
        <v/>
      </c>
      <c r="N47" s="7" t="str">
        <f t="shared" si="6"/>
        <v/>
      </c>
      <c r="O47" s="7" t="str">
        <f t="shared" si="7"/>
        <v/>
      </c>
      <c r="P47" s="7" t="str">
        <f t="shared" si="8"/>
        <v/>
      </c>
      <c r="Q47" s="7" t="str">
        <f t="shared" si="9"/>
        <v>2026-04</v>
      </c>
      <c r="R47" s="12" t="s">
        <v>227</v>
      </c>
    </row>
    <row r="48" ht="15" hidden="1" customHeight="1" spans="1:18">
      <c r="A48" s="7">
        <v>47</v>
      </c>
      <c r="B48" s="7" t="s">
        <v>228</v>
      </c>
      <c r="C48" s="7" t="s">
        <v>229</v>
      </c>
      <c r="D48" s="11" t="s">
        <v>22</v>
      </c>
      <c r="E48" s="6">
        <v>46104</v>
      </c>
      <c r="F48" s="6">
        <v>46104</v>
      </c>
      <c r="G48" s="7">
        <f t="shared" si="0"/>
        <v>1</v>
      </c>
      <c r="H48" s="7">
        <v>1</v>
      </c>
      <c r="I48" s="7" t="str">
        <f t="shared" si="1"/>
        <v/>
      </c>
      <c r="J48" s="7" t="str">
        <f t="shared" si="2"/>
        <v/>
      </c>
      <c r="K48" s="7" t="str">
        <f t="shared" si="3"/>
        <v>X</v>
      </c>
      <c r="L48" s="7" t="str">
        <f t="shared" si="4"/>
        <v/>
      </c>
      <c r="M48" s="7" t="str">
        <f t="shared" si="5"/>
        <v/>
      </c>
      <c r="N48" s="7" t="str">
        <f t="shared" si="6"/>
        <v/>
      </c>
      <c r="O48" s="7" t="str">
        <f t="shared" si="7"/>
        <v/>
      </c>
      <c r="P48" s="7" t="str">
        <f t="shared" si="8"/>
        <v/>
      </c>
      <c r="Q48" s="7" t="str">
        <f t="shared" si="9"/>
        <v>2026-03</v>
      </c>
      <c r="R48" s="12" t="s">
        <v>230</v>
      </c>
    </row>
    <row r="49" ht="15" hidden="1" customHeight="1" spans="1:18">
      <c r="A49" s="7">
        <v>48</v>
      </c>
      <c r="B49" s="7" t="s">
        <v>231</v>
      </c>
      <c r="C49" s="7" t="s">
        <v>232</v>
      </c>
      <c r="D49" s="11" t="s">
        <v>233</v>
      </c>
      <c r="E49" s="6">
        <v>46093</v>
      </c>
      <c r="F49" s="6">
        <v>46093</v>
      </c>
      <c r="G49" s="7">
        <f t="shared" si="0"/>
        <v>1</v>
      </c>
      <c r="H49" s="7">
        <v>1</v>
      </c>
      <c r="I49" s="7" t="str">
        <f t="shared" si="1"/>
        <v/>
      </c>
      <c r="J49" s="7" t="str">
        <f t="shared" si="2"/>
        <v/>
      </c>
      <c r="K49" s="7" t="str">
        <f t="shared" si="3"/>
        <v/>
      </c>
      <c r="L49" s="7" t="str">
        <f t="shared" si="4"/>
        <v/>
      </c>
      <c r="M49" s="7" t="str">
        <f t="shared" si="5"/>
        <v/>
      </c>
      <c r="N49" s="7" t="str">
        <f t="shared" si="6"/>
        <v/>
      </c>
      <c r="O49" s="7" t="str">
        <f t="shared" si="7"/>
        <v/>
      </c>
      <c r="P49" s="7" t="str">
        <f t="shared" si="8"/>
        <v/>
      </c>
      <c r="Q49" s="7" t="str">
        <f t="shared" si="9"/>
        <v>2026-03</v>
      </c>
      <c r="R49" s="12" t="s">
        <v>234</v>
      </c>
    </row>
    <row r="50" ht="34.5" hidden="1" customHeight="1" spans="1:18">
      <c r="A50" s="7">
        <v>49</v>
      </c>
      <c r="B50" s="7" t="s">
        <v>235</v>
      </c>
      <c r="C50" s="7" t="s">
        <v>236</v>
      </c>
      <c r="D50" s="11" t="s">
        <v>237</v>
      </c>
      <c r="E50" s="6">
        <v>46094</v>
      </c>
      <c r="F50" s="6">
        <v>46097</v>
      </c>
      <c r="G50" s="7">
        <f t="shared" si="0"/>
        <v>4</v>
      </c>
      <c r="H50" s="7">
        <v>3</v>
      </c>
      <c r="I50" s="7" t="str">
        <f t="shared" si="1"/>
        <v/>
      </c>
      <c r="J50" s="7" t="str">
        <f t="shared" si="2"/>
        <v/>
      </c>
      <c r="K50" s="7" t="str">
        <f t="shared" si="3"/>
        <v/>
      </c>
      <c r="L50" s="7" t="str">
        <f t="shared" si="4"/>
        <v>X</v>
      </c>
      <c r="M50" s="7" t="str">
        <f t="shared" si="5"/>
        <v/>
      </c>
      <c r="N50" s="7" t="str">
        <f t="shared" si="6"/>
        <v/>
      </c>
      <c r="O50" s="7" t="str">
        <f t="shared" si="7"/>
        <v/>
      </c>
      <c r="P50" s="7" t="str">
        <f t="shared" si="8"/>
        <v/>
      </c>
      <c r="Q50" s="7" t="str">
        <f t="shared" si="9"/>
        <v>2026-03</v>
      </c>
      <c r="R50" s="12" t="s">
        <v>238</v>
      </c>
    </row>
    <row r="51" ht="23.25" hidden="1" customHeight="1" spans="1:18">
      <c r="A51" s="7">
        <v>50</v>
      </c>
      <c r="B51" s="7" t="s">
        <v>239</v>
      </c>
      <c r="C51" s="7" t="s">
        <v>240</v>
      </c>
      <c r="D51" s="11" t="s">
        <v>241</v>
      </c>
      <c r="E51" s="6">
        <v>46093</v>
      </c>
      <c r="F51" s="6">
        <v>46093</v>
      </c>
      <c r="G51" s="7">
        <f t="shared" si="0"/>
        <v>1</v>
      </c>
      <c r="H51" s="7">
        <v>2</v>
      </c>
      <c r="I51" s="7" t="str">
        <f t="shared" si="1"/>
        <v/>
      </c>
      <c r="J51" s="7" t="str">
        <f t="shared" si="2"/>
        <v/>
      </c>
      <c r="K51" s="7" t="str">
        <f t="shared" si="3"/>
        <v>X</v>
      </c>
      <c r="L51" s="7" t="str">
        <f t="shared" si="4"/>
        <v/>
      </c>
      <c r="M51" s="7" t="str">
        <f t="shared" si="5"/>
        <v/>
      </c>
      <c r="N51" s="7" t="str">
        <f t="shared" si="6"/>
        <v/>
      </c>
      <c r="O51" s="7" t="str">
        <f t="shared" si="7"/>
        <v/>
      </c>
      <c r="P51" s="7" t="str">
        <f t="shared" si="8"/>
        <v/>
      </c>
      <c r="Q51" s="7" t="str">
        <f t="shared" si="9"/>
        <v>2026-03</v>
      </c>
      <c r="R51" s="12" t="s">
        <v>242</v>
      </c>
    </row>
    <row r="52" ht="79.5" hidden="1" customHeight="1" spans="1:18">
      <c r="A52" s="7">
        <v>51</v>
      </c>
      <c r="B52" s="7" t="s">
        <v>243</v>
      </c>
      <c r="C52" s="7" t="s">
        <v>210</v>
      </c>
      <c r="D52" s="11" t="s">
        <v>244</v>
      </c>
      <c r="E52" s="6">
        <v>46098</v>
      </c>
      <c r="F52" s="6">
        <v>46106</v>
      </c>
      <c r="G52" s="7">
        <f t="shared" si="0"/>
        <v>9</v>
      </c>
      <c r="H52" s="7">
        <v>7</v>
      </c>
      <c r="I52" s="7" t="str">
        <f t="shared" si="1"/>
        <v/>
      </c>
      <c r="J52" s="7" t="str">
        <f t="shared" si="2"/>
        <v/>
      </c>
      <c r="K52" s="7" t="str">
        <f t="shared" si="3"/>
        <v/>
      </c>
      <c r="L52" s="7" t="str">
        <f t="shared" si="4"/>
        <v/>
      </c>
      <c r="M52" s="7" t="str">
        <f t="shared" si="5"/>
        <v/>
      </c>
      <c r="N52" s="7" t="str">
        <f t="shared" si="6"/>
        <v/>
      </c>
      <c r="O52" s="7" t="str">
        <f t="shared" si="7"/>
        <v>X</v>
      </c>
      <c r="P52" s="7" t="str">
        <f t="shared" si="8"/>
        <v/>
      </c>
      <c r="Q52" s="7" t="str">
        <f t="shared" si="9"/>
        <v>2026-03</v>
      </c>
      <c r="R52" s="12" t="s">
        <v>245</v>
      </c>
    </row>
    <row r="53" ht="15" hidden="1" customHeight="1" spans="1:18">
      <c r="A53" s="7">
        <v>52</v>
      </c>
      <c r="B53" s="7" t="s">
        <v>246</v>
      </c>
      <c r="C53" s="7" t="s">
        <v>247</v>
      </c>
      <c r="D53" s="11" t="s">
        <v>248</v>
      </c>
      <c r="E53" s="6">
        <v>46091</v>
      </c>
      <c r="F53" s="6">
        <v>46091</v>
      </c>
      <c r="G53" s="7">
        <f t="shared" si="0"/>
        <v>1</v>
      </c>
      <c r="H53" s="7">
        <v>1</v>
      </c>
      <c r="I53" s="7" t="str">
        <f t="shared" si="1"/>
        <v/>
      </c>
      <c r="J53" s="7" t="str">
        <f t="shared" si="2"/>
        <v/>
      </c>
      <c r="K53" s="7" t="str">
        <f t="shared" si="3"/>
        <v/>
      </c>
      <c r="L53" s="7" t="str">
        <f t="shared" si="4"/>
        <v/>
      </c>
      <c r="M53" s="7" t="str">
        <f t="shared" si="5"/>
        <v/>
      </c>
      <c r="N53" s="7" t="str">
        <f t="shared" si="6"/>
        <v/>
      </c>
      <c r="O53" s="7" t="str">
        <f t="shared" si="7"/>
        <v/>
      </c>
      <c r="P53" s="7" t="str">
        <f t="shared" si="8"/>
        <v/>
      </c>
      <c r="Q53" s="7" t="str">
        <f t="shared" si="9"/>
        <v>2026-03</v>
      </c>
      <c r="R53" s="12" t="s">
        <v>249</v>
      </c>
    </row>
    <row r="54" ht="23.25" hidden="1" customHeight="1" spans="1:18">
      <c r="A54" s="7">
        <v>53</v>
      </c>
      <c r="B54" s="7" t="s">
        <v>250</v>
      </c>
      <c r="C54" s="7" t="s">
        <v>251</v>
      </c>
      <c r="D54" s="11" t="s">
        <v>248</v>
      </c>
      <c r="E54" s="6">
        <v>46090</v>
      </c>
      <c r="F54" s="6">
        <v>46093</v>
      </c>
      <c r="G54" s="7">
        <f t="shared" si="0"/>
        <v>4</v>
      </c>
      <c r="H54" s="7">
        <v>2</v>
      </c>
      <c r="I54" s="7" t="str">
        <f t="shared" si="1"/>
        <v/>
      </c>
      <c r="J54" s="7" t="str">
        <f t="shared" si="2"/>
        <v/>
      </c>
      <c r="K54" s="7" t="str">
        <f t="shared" si="3"/>
        <v/>
      </c>
      <c r="L54" s="7" t="str">
        <f t="shared" si="4"/>
        <v/>
      </c>
      <c r="M54" s="7" t="str">
        <f t="shared" si="5"/>
        <v/>
      </c>
      <c r="N54" s="7" t="str">
        <f t="shared" si="6"/>
        <v/>
      </c>
      <c r="O54" s="7" t="str">
        <f t="shared" si="7"/>
        <v/>
      </c>
      <c r="P54" s="7" t="str">
        <f t="shared" si="8"/>
        <v/>
      </c>
      <c r="Q54" s="7" t="str">
        <f t="shared" si="9"/>
        <v>2026-03</v>
      </c>
      <c r="R54" s="12" t="s">
        <v>252</v>
      </c>
    </row>
    <row r="55" ht="15" hidden="1" customHeight="1" spans="1:18">
      <c r="A55" s="7">
        <v>54</v>
      </c>
      <c r="B55" s="7" t="s">
        <v>253</v>
      </c>
      <c r="C55" s="7" t="s">
        <v>254</v>
      </c>
      <c r="D55" s="11" t="s">
        <v>248</v>
      </c>
      <c r="E55" s="6">
        <v>46090</v>
      </c>
      <c r="F55" s="6">
        <v>46090</v>
      </c>
      <c r="G55" s="7">
        <f t="shared" si="0"/>
        <v>1</v>
      </c>
      <c r="H55" s="7">
        <v>1</v>
      </c>
      <c r="I55" s="7" t="str">
        <f t="shared" si="1"/>
        <v/>
      </c>
      <c r="J55" s="7" t="str">
        <f t="shared" si="2"/>
        <v/>
      </c>
      <c r="K55" s="7" t="str">
        <f t="shared" si="3"/>
        <v/>
      </c>
      <c r="L55" s="7" t="str">
        <f t="shared" si="4"/>
        <v/>
      </c>
      <c r="M55" s="7" t="str">
        <f t="shared" si="5"/>
        <v/>
      </c>
      <c r="N55" s="7" t="str">
        <f t="shared" si="6"/>
        <v/>
      </c>
      <c r="O55" s="7" t="str">
        <f t="shared" si="7"/>
        <v/>
      </c>
      <c r="P55" s="7" t="str">
        <f t="shared" si="8"/>
        <v/>
      </c>
      <c r="Q55" s="7" t="str">
        <f t="shared" si="9"/>
        <v>2026-03</v>
      </c>
      <c r="R55" s="12" t="s">
        <v>255</v>
      </c>
    </row>
    <row r="56" ht="15" hidden="1" customHeight="1" spans="1:18">
      <c r="A56" s="7">
        <v>55</v>
      </c>
      <c r="B56" s="7" t="s">
        <v>256</v>
      </c>
      <c r="C56" s="7" t="s">
        <v>132</v>
      </c>
      <c r="D56" s="11" t="s">
        <v>248</v>
      </c>
      <c r="E56" s="6">
        <v>46090</v>
      </c>
      <c r="F56" s="6">
        <v>46090</v>
      </c>
      <c r="G56" s="7">
        <f t="shared" si="0"/>
        <v>1</v>
      </c>
      <c r="H56" s="7">
        <v>1</v>
      </c>
      <c r="I56" s="7" t="str">
        <f t="shared" si="1"/>
        <v/>
      </c>
      <c r="J56" s="7" t="str">
        <f t="shared" si="2"/>
        <v/>
      </c>
      <c r="K56" s="7" t="str">
        <f t="shared" si="3"/>
        <v/>
      </c>
      <c r="L56" s="7" t="str">
        <f t="shared" si="4"/>
        <v/>
      </c>
      <c r="M56" s="7" t="str">
        <f t="shared" si="5"/>
        <v/>
      </c>
      <c r="N56" s="7" t="str">
        <f t="shared" si="6"/>
        <v/>
      </c>
      <c r="O56" s="7" t="str">
        <f t="shared" si="7"/>
        <v/>
      </c>
      <c r="P56" s="7" t="str">
        <f t="shared" si="8"/>
        <v/>
      </c>
      <c r="Q56" s="7" t="str">
        <f t="shared" si="9"/>
        <v>2026-03</v>
      </c>
      <c r="R56" s="12" t="s">
        <v>255</v>
      </c>
    </row>
    <row r="57" ht="15" hidden="1" customHeight="1" spans="1:18">
      <c r="A57" s="7">
        <v>56</v>
      </c>
      <c r="B57" s="7" t="s">
        <v>257</v>
      </c>
      <c r="C57" s="7" t="s">
        <v>156</v>
      </c>
      <c r="D57" s="11" t="s">
        <v>248</v>
      </c>
      <c r="E57" s="6">
        <v>46090</v>
      </c>
      <c r="F57" s="6">
        <v>46090</v>
      </c>
      <c r="G57" s="7">
        <f t="shared" si="0"/>
        <v>1</v>
      </c>
      <c r="H57" s="7">
        <v>1</v>
      </c>
      <c r="I57" s="7" t="str">
        <f t="shared" si="1"/>
        <v/>
      </c>
      <c r="J57" s="7" t="str">
        <f t="shared" si="2"/>
        <v/>
      </c>
      <c r="K57" s="7" t="str">
        <f t="shared" si="3"/>
        <v/>
      </c>
      <c r="L57" s="7" t="str">
        <f t="shared" si="4"/>
        <v/>
      </c>
      <c r="M57" s="7" t="str">
        <f t="shared" si="5"/>
        <v/>
      </c>
      <c r="N57" s="7" t="str">
        <f t="shared" si="6"/>
        <v/>
      </c>
      <c r="O57" s="7" t="str">
        <f t="shared" si="7"/>
        <v/>
      </c>
      <c r="P57" s="7" t="str">
        <f t="shared" si="8"/>
        <v/>
      </c>
      <c r="Q57" s="7" t="str">
        <f t="shared" si="9"/>
        <v>2026-03</v>
      </c>
      <c r="R57" s="12" t="s">
        <v>255</v>
      </c>
    </row>
    <row r="58" ht="34.5" hidden="1" customHeight="1" spans="1:18">
      <c r="A58" s="7">
        <v>57</v>
      </c>
      <c r="B58" s="7" t="s">
        <v>258</v>
      </c>
      <c r="C58" s="7" t="s">
        <v>259</v>
      </c>
      <c r="D58" s="11" t="s">
        <v>260</v>
      </c>
      <c r="E58" s="6">
        <v>46086</v>
      </c>
      <c r="F58" s="6">
        <v>46090</v>
      </c>
      <c r="G58" s="7">
        <f t="shared" si="0"/>
        <v>5</v>
      </c>
      <c r="H58" s="7">
        <v>3</v>
      </c>
      <c r="I58" s="7" t="str">
        <f t="shared" si="1"/>
        <v/>
      </c>
      <c r="J58" s="7" t="str">
        <f t="shared" si="2"/>
        <v/>
      </c>
      <c r="K58" s="7" t="str">
        <f t="shared" si="3"/>
        <v>X</v>
      </c>
      <c r="L58" s="7" t="str">
        <f t="shared" si="4"/>
        <v/>
      </c>
      <c r="M58" s="7" t="str">
        <f t="shared" si="5"/>
        <v/>
      </c>
      <c r="N58" s="7" t="str">
        <f t="shared" si="6"/>
        <v/>
      </c>
      <c r="O58" s="7" t="str">
        <f t="shared" si="7"/>
        <v>X</v>
      </c>
      <c r="P58" s="7" t="str">
        <f t="shared" si="8"/>
        <v/>
      </c>
      <c r="Q58" s="7" t="str">
        <f t="shared" si="9"/>
        <v>2026-03</v>
      </c>
      <c r="R58" s="12" t="s">
        <v>261</v>
      </c>
    </row>
    <row r="59" ht="45.75" hidden="1" customHeight="1" spans="1:18">
      <c r="A59" s="7">
        <v>58</v>
      </c>
      <c r="B59" s="7" t="s">
        <v>262</v>
      </c>
      <c r="C59" s="7" t="s">
        <v>263</v>
      </c>
      <c r="D59" s="11" t="s">
        <v>264</v>
      </c>
      <c r="E59" s="6">
        <v>46085</v>
      </c>
      <c r="F59" s="6">
        <v>46087</v>
      </c>
      <c r="G59" s="7">
        <f t="shared" si="0"/>
        <v>3</v>
      </c>
      <c r="H59" s="7">
        <v>4</v>
      </c>
      <c r="I59" s="7" t="str">
        <f t="shared" si="1"/>
        <v/>
      </c>
      <c r="J59" s="7" t="str">
        <f t="shared" si="2"/>
        <v/>
      </c>
      <c r="K59" s="7" t="str">
        <f t="shared" si="3"/>
        <v/>
      </c>
      <c r="L59" s="7" t="str">
        <f t="shared" si="4"/>
        <v>X</v>
      </c>
      <c r="M59" s="7" t="str">
        <f t="shared" si="5"/>
        <v/>
      </c>
      <c r="N59" s="7" t="str">
        <f t="shared" si="6"/>
        <v/>
      </c>
      <c r="O59" s="7" t="str">
        <f t="shared" si="7"/>
        <v/>
      </c>
      <c r="P59" s="7" t="str">
        <f t="shared" si="8"/>
        <v/>
      </c>
      <c r="Q59" s="7" t="str">
        <f t="shared" si="9"/>
        <v>2026-03</v>
      </c>
      <c r="R59" s="12" t="s">
        <v>265</v>
      </c>
    </row>
    <row r="60" ht="23.25" hidden="1" customHeight="1" spans="1:18">
      <c r="A60" s="7">
        <v>59</v>
      </c>
      <c r="B60" s="7" t="s">
        <v>266</v>
      </c>
      <c r="C60" s="7" t="s">
        <v>267</v>
      </c>
      <c r="D60" s="11" t="s">
        <v>268</v>
      </c>
      <c r="E60" s="6">
        <v>46091</v>
      </c>
      <c r="F60" s="6">
        <v>46092</v>
      </c>
      <c r="G60" s="7">
        <f t="shared" si="0"/>
        <v>2</v>
      </c>
      <c r="H60" s="7">
        <v>2</v>
      </c>
      <c r="I60" s="7" t="str">
        <f t="shared" si="1"/>
        <v/>
      </c>
      <c r="J60" s="7" t="str">
        <f t="shared" si="2"/>
        <v/>
      </c>
      <c r="K60" s="7" t="str">
        <f t="shared" si="3"/>
        <v>X</v>
      </c>
      <c r="L60" s="7" t="str">
        <f t="shared" si="4"/>
        <v/>
      </c>
      <c r="M60" s="7" t="str">
        <f t="shared" si="5"/>
        <v/>
      </c>
      <c r="N60" s="7" t="str">
        <f t="shared" si="6"/>
        <v/>
      </c>
      <c r="O60" s="7" t="str">
        <f t="shared" si="7"/>
        <v/>
      </c>
      <c r="P60" s="7" t="str">
        <f t="shared" si="8"/>
        <v/>
      </c>
      <c r="Q60" s="7" t="str">
        <f t="shared" si="9"/>
        <v>2026-03</v>
      </c>
      <c r="R60" s="12" t="s">
        <v>269</v>
      </c>
    </row>
    <row r="61" ht="15" hidden="1" customHeight="1" spans="1:18">
      <c r="A61" s="7">
        <v>60</v>
      </c>
      <c r="B61" s="7" t="s">
        <v>270</v>
      </c>
      <c r="C61" s="7" t="s">
        <v>271</v>
      </c>
      <c r="D61" s="11" t="s">
        <v>272</v>
      </c>
      <c r="E61" s="6">
        <v>46094</v>
      </c>
      <c r="F61" s="6">
        <v>46094</v>
      </c>
      <c r="G61" s="7">
        <f t="shared" si="0"/>
        <v>1</v>
      </c>
      <c r="H61" s="7">
        <v>1</v>
      </c>
      <c r="I61" s="7" t="str">
        <f t="shared" si="1"/>
        <v/>
      </c>
      <c r="J61" s="7" t="str">
        <f t="shared" si="2"/>
        <v/>
      </c>
      <c r="K61" s="7" t="str">
        <f t="shared" si="3"/>
        <v/>
      </c>
      <c r="L61" s="7" t="str">
        <f t="shared" si="4"/>
        <v/>
      </c>
      <c r="M61" s="7" t="str">
        <f t="shared" si="5"/>
        <v/>
      </c>
      <c r="N61" s="7" t="str">
        <f t="shared" si="6"/>
        <v/>
      </c>
      <c r="O61" s="7" t="str">
        <f t="shared" si="7"/>
        <v/>
      </c>
      <c r="P61" s="7" t="str">
        <f t="shared" si="8"/>
        <v/>
      </c>
      <c r="Q61" s="7" t="str">
        <f t="shared" si="9"/>
        <v>2026-03</v>
      </c>
      <c r="R61" s="12" t="s">
        <v>273</v>
      </c>
    </row>
    <row r="62" ht="34.5" hidden="1" customHeight="1" spans="1:18">
      <c r="A62" s="7">
        <v>61</v>
      </c>
      <c r="B62" s="7" t="s">
        <v>274</v>
      </c>
      <c r="C62" s="7" t="s">
        <v>275</v>
      </c>
      <c r="D62" s="11" t="s">
        <v>276</v>
      </c>
      <c r="E62" s="6">
        <v>46084</v>
      </c>
      <c r="F62" s="6">
        <v>46085</v>
      </c>
      <c r="G62" s="7">
        <f t="shared" si="0"/>
        <v>2</v>
      </c>
      <c r="H62" s="7">
        <v>2</v>
      </c>
      <c r="I62" s="7" t="str">
        <f t="shared" si="1"/>
        <v/>
      </c>
      <c r="J62" s="7" t="str">
        <f t="shared" si="2"/>
        <v/>
      </c>
      <c r="K62" s="7" t="str">
        <f t="shared" si="3"/>
        <v>X</v>
      </c>
      <c r="L62" s="7" t="str">
        <f t="shared" si="4"/>
        <v>X</v>
      </c>
      <c r="M62" s="7" t="str">
        <f t="shared" si="5"/>
        <v/>
      </c>
      <c r="N62" s="7" t="str">
        <f t="shared" si="6"/>
        <v/>
      </c>
      <c r="O62" s="7" t="str">
        <f t="shared" si="7"/>
        <v/>
      </c>
      <c r="P62" s="7" t="str">
        <f t="shared" si="8"/>
        <v/>
      </c>
      <c r="Q62" s="7" t="str">
        <f t="shared" si="9"/>
        <v>2026-03</v>
      </c>
      <c r="R62" s="12" t="s">
        <v>277</v>
      </c>
    </row>
    <row r="63" ht="68.25" hidden="1" customHeight="1" spans="1:18">
      <c r="A63" s="7">
        <v>62</v>
      </c>
      <c r="B63" s="7" t="s">
        <v>278</v>
      </c>
      <c r="C63" s="7" t="s">
        <v>229</v>
      </c>
      <c r="D63" s="11" t="s">
        <v>279</v>
      </c>
      <c r="E63" s="6">
        <v>46078</v>
      </c>
      <c r="F63" s="6">
        <v>46084</v>
      </c>
      <c r="G63" s="7">
        <f t="shared" si="0"/>
        <v>7</v>
      </c>
      <c r="H63" s="7">
        <v>4</v>
      </c>
      <c r="I63" s="7" t="str">
        <f t="shared" si="1"/>
        <v/>
      </c>
      <c r="J63" s="7" t="str">
        <f t="shared" si="2"/>
        <v/>
      </c>
      <c r="K63" s="7" t="str">
        <f t="shared" si="3"/>
        <v>X</v>
      </c>
      <c r="L63" s="7" t="str">
        <f t="shared" si="4"/>
        <v/>
      </c>
      <c r="M63" s="7" t="str">
        <f t="shared" si="5"/>
        <v/>
      </c>
      <c r="N63" s="7" t="str">
        <f t="shared" si="6"/>
        <v/>
      </c>
      <c r="O63" s="7" t="str">
        <f t="shared" si="7"/>
        <v/>
      </c>
      <c r="P63" s="7" t="str">
        <f t="shared" si="8"/>
        <v/>
      </c>
      <c r="Q63" s="7" t="str">
        <f t="shared" si="9"/>
        <v>2026-02</v>
      </c>
      <c r="R63" s="12" t="s">
        <v>280</v>
      </c>
    </row>
    <row r="64" ht="45.75" hidden="1" customHeight="1" spans="1:18">
      <c r="A64" s="7">
        <v>63</v>
      </c>
      <c r="B64" s="7" t="s">
        <v>281</v>
      </c>
      <c r="C64" s="7" t="s">
        <v>282</v>
      </c>
      <c r="D64" s="11" t="s">
        <v>283</v>
      </c>
      <c r="E64" s="6">
        <v>46065</v>
      </c>
      <c r="F64" s="6">
        <v>46078</v>
      </c>
      <c r="G64" s="7">
        <f t="shared" si="0"/>
        <v>14</v>
      </c>
      <c r="H64" s="7">
        <v>3</v>
      </c>
      <c r="I64" s="7" t="str">
        <f t="shared" si="1"/>
        <v/>
      </c>
      <c r="J64" s="7" t="str">
        <f t="shared" si="2"/>
        <v/>
      </c>
      <c r="K64" s="7" t="str">
        <f t="shared" si="3"/>
        <v>X</v>
      </c>
      <c r="L64" s="7" t="str">
        <f t="shared" si="4"/>
        <v/>
      </c>
      <c r="M64" s="7" t="str">
        <f t="shared" si="5"/>
        <v/>
      </c>
      <c r="N64" s="7" t="str">
        <f t="shared" si="6"/>
        <v/>
      </c>
      <c r="O64" s="7" t="str">
        <f t="shared" si="7"/>
        <v/>
      </c>
      <c r="P64" s="7" t="str">
        <f t="shared" si="8"/>
        <v/>
      </c>
      <c r="Q64" s="7" t="str">
        <f t="shared" si="9"/>
        <v>2026-02</v>
      </c>
      <c r="R64" s="12" t="s">
        <v>284</v>
      </c>
    </row>
    <row r="65" ht="57" customHeight="1" spans="1:18">
      <c r="A65" s="7">
        <v>64</v>
      </c>
      <c r="B65" s="7" t="s">
        <v>285</v>
      </c>
      <c r="C65" s="7" t="s">
        <v>263</v>
      </c>
      <c r="D65" s="11" t="s">
        <v>286</v>
      </c>
      <c r="E65" s="6">
        <v>46078</v>
      </c>
      <c r="F65" s="6">
        <v>46084</v>
      </c>
      <c r="G65" s="7">
        <f t="shared" si="0"/>
        <v>7</v>
      </c>
      <c r="H65" s="7">
        <v>5</v>
      </c>
      <c r="I65" s="7" t="str">
        <f t="shared" si="1"/>
        <v>X</v>
      </c>
      <c r="J65" s="7" t="str">
        <f t="shared" si="2"/>
        <v/>
      </c>
      <c r="K65" s="7" t="str">
        <f t="shared" si="3"/>
        <v/>
      </c>
      <c r="L65" s="7" t="str">
        <f t="shared" si="4"/>
        <v/>
      </c>
      <c r="M65" s="7" t="str">
        <f t="shared" si="5"/>
        <v/>
      </c>
      <c r="N65" s="7" t="str">
        <f t="shared" si="6"/>
        <v/>
      </c>
      <c r="O65" s="7" t="str">
        <f t="shared" si="7"/>
        <v/>
      </c>
      <c r="P65" s="7" t="str">
        <f t="shared" si="8"/>
        <v/>
      </c>
      <c r="Q65" s="7" t="str">
        <f t="shared" si="9"/>
        <v>2026-02</v>
      </c>
      <c r="R65" s="12" t="s">
        <v>287</v>
      </c>
    </row>
    <row r="66" ht="68.25" hidden="1" customHeight="1" spans="1:18">
      <c r="A66" s="7">
        <v>65</v>
      </c>
      <c r="B66" s="7" t="s">
        <v>288</v>
      </c>
      <c r="C66" s="7" t="s">
        <v>289</v>
      </c>
      <c r="D66" s="11" t="s">
        <v>290</v>
      </c>
      <c r="E66" s="6">
        <v>46058</v>
      </c>
      <c r="F66" s="6">
        <v>46065</v>
      </c>
      <c r="G66" s="7">
        <f t="shared" ref="G66:G74" si="10">F66-E66+1</f>
        <v>8</v>
      </c>
      <c r="H66" s="7">
        <v>6</v>
      </c>
      <c r="I66" s="7" t="str">
        <f t="shared" ref="I66:I74" si="11">IF(OR(ISNUMBER(SEARCH("làm app mới",D66)),ISNUMBER(SEARCH("app mẫu",D66))),"X","")</f>
        <v/>
      </c>
      <c r="J66" s="7" t="str">
        <f t="shared" ref="J66:J74" si="12">IF(ISNUMBER(SEARCH("policy",D66)),"X","")</f>
        <v/>
      </c>
      <c r="K66" s="7" t="str">
        <f t="shared" ref="K66:K74" si="13">IF(OR(ISNUMBER(SEARCH("chỉ số",D66)),ISNUMBER(SEARCH("show rate",D66)),ISNUMBER(SEARCH("showrate",D66)),ISNUMBER(SEARCH("impression",D66)),ISNUMBER(SEARCH("imp/new user",D66))),"X","")</f>
        <v/>
      </c>
      <c r="L66" s="7" t="str">
        <f t="shared" ref="L66:L74" si="14">IF(OR(ISNUMBER(SEARCH("quảng cáo",D66)),ISNUMBER(SEARCH("kịch bản ads",D66)),ISNUMBER(SEARCH("admob",D66)),ISNUMBER(SEARCH("turnoverads",D66)),ISNUMBER(SEARCH("turn over ads",D66))),"X","")</f>
        <v/>
      </c>
      <c r="M66" s="7" t="str">
        <f t="shared" ref="M66:M74" si="15">IF(ISNUMBER(SEARCH("kịch bản mo",D66)),"X","")</f>
        <v>X</v>
      </c>
      <c r="N66" s="7" t="str">
        <f t="shared" ref="N66:N74" si="16">IF(ISNUMBER(SEARCH("crash",D66)),"X","")</f>
        <v/>
      </c>
      <c r="O66" s="7" t="str">
        <f t="shared" ref="O66:O74" si="17">IF(OR(ISNUMBER(SEARCH("iap",D66)),ISNUMBER(SEARCH("sub",D66)),ISNUMBER(SEARCH("tính năng",D66))),"X","")</f>
        <v/>
      </c>
      <c r="P66" s="7" t="str">
        <f t="shared" ref="P66:P74" si="18">IF(ISNUMBER(SEARCH("sdk",D66)),"X","")</f>
        <v/>
      </c>
      <c r="Q66" s="7" t="str">
        <f t="shared" ref="Q66:Q74" si="19">TEXT(E66,"yyyy-mm")</f>
        <v>2026-02</v>
      </c>
      <c r="R66" s="12" t="s">
        <v>291</v>
      </c>
    </row>
    <row r="67" ht="45.75" hidden="1" customHeight="1" spans="1:18">
      <c r="A67" s="7">
        <v>66</v>
      </c>
      <c r="B67" s="7" t="s">
        <v>292</v>
      </c>
      <c r="C67" s="7" t="s">
        <v>293</v>
      </c>
      <c r="D67" s="11" t="s">
        <v>294</v>
      </c>
      <c r="E67" s="6">
        <v>46055</v>
      </c>
      <c r="F67" s="6">
        <v>46058</v>
      </c>
      <c r="G67" s="7">
        <f t="shared" si="10"/>
        <v>4</v>
      </c>
      <c r="H67" s="7">
        <v>4</v>
      </c>
      <c r="I67" s="7" t="str">
        <f t="shared" si="11"/>
        <v/>
      </c>
      <c r="J67" s="7" t="str">
        <f t="shared" si="12"/>
        <v/>
      </c>
      <c r="K67" s="7" t="str">
        <f t="shared" si="13"/>
        <v>X</v>
      </c>
      <c r="L67" s="7" t="str">
        <f t="shared" si="14"/>
        <v/>
      </c>
      <c r="M67" s="7" t="str">
        <f t="shared" si="15"/>
        <v/>
      </c>
      <c r="N67" s="7" t="str">
        <f t="shared" si="16"/>
        <v>X</v>
      </c>
      <c r="O67" s="7" t="str">
        <f t="shared" si="17"/>
        <v/>
      </c>
      <c r="P67" s="7" t="str">
        <f t="shared" si="18"/>
        <v/>
      </c>
      <c r="Q67" s="7" t="str">
        <f t="shared" si="19"/>
        <v>2026-02</v>
      </c>
      <c r="R67" s="12" t="s">
        <v>295</v>
      </c>
    </row>
    <row r="68" ht="45.75" hidden="1" customHeight="1" spans="1:18">
      <c r="A68" s="7">
        <v>67</v>
      </c>
      <c r="B68" s="7" t="s">
        <v>296</v>
      </c>
      <c r="C68" s="7" t="s">
        <v>156</v>
      </c>
      <c r="D68" s="11" t="s">
        <v>297</v>
      </c>
      <c r="E68" s="6">
        <v>46057</v>
      </c>
      <c r="F68" s="6">
        <v>46064</v>
      </c>
      <c r="G68" s="7">
        <f t="shared" si="10"/>
        <v>8</v>
      </c>
      <c r="H68" s="7">
        <v>3</v>
      </c>
      <c r="I68" s="7" t="str">
        <f t="shared" si="11"/>
        <v/>
      </c>
      <c r="J68" s="7" t="str">
        <f t="shared" si="12"/>
        <v/>
      </c>
      <c r="K68" s="7" t="str">
        <f t="shared" si="13"/>
        <v/>
      </c>
      <c r="L68" s="7" t="str">
        <f t="shared" si="14"/>
        <v/>
      </c>
      <c r="M68" s="7" t="str">
        <f t="shared" si="15"/>
        <v/>
      </c>
      <c r="N68" s="7" t="str">
        <f t="shared" si="16"/>
        <v/>
      </c>
      <c r="O68" s="7" t="str">
        <f t="shared" si="17"/>
        <v/>
      </c>
      <c r="P68" s="7" t="str">
        <f t="shared" si="18"/>
        <v/>
      </c>
      <c r="Q68" s="7" t="str">
        <f t="shared" si="19"/>
        <v>2026-02</v>
      </c>
      <c r="R68" s="12" t="s">
        <v>298</v>
      </c>
    </row>
    <row r="69" ht="34.5" hidden="1" customHeight="1" spans="1:18">
      <c r="A69" s="7">
        <v>68</v>
      </c>
      <c r="B69" s="7" t="s">
        <v>299</v>
      </c>
      <c r="C69" s="7" t="s">
        <v>300</v>
      </c>
      <c r="D69" s="11" t="s">
        <v>301</v>
      </c>
      <c r="E69" s="6">
        <v>46051</v>
      </c>
      <c r="F69" s="6">
        <v>46055</v>
      </c>
      <c r="G69" s="7">
        <f t="shared" si="10"/>
        <v>5</v>
      </c>
      <c r="H69" s="7">
        <v>3</v>
      </c>
      <c r="I69" s="7" t="str">
        <f t="shared" si="11"/>
        <v/>
      </c>
      <c r="J69" s="7" t="str">
        <f t="shared" si="12"/>
        <v/>
      </c>
      <c r="K69" s="7" t="str">
        <f t="shared" si="13"/>
        <v/>
      </c>
      <c r="L69" s="7" t="str">
        <f t="shared" si="14"/>
        <v/>
      </c>
      <c r="M69" s="7" t="str">
        <f t="shared" si="15"/>
        <v>X</v>
      </c>
      <c r="N69" s="7" t="str">
        <f t="shared" si="16"/>
        <v/>
      </c>
      <c r="O69" s="7" t="str">
        <f t="shared" si="17"/>
        <v/>
      </c>
      <c r="P69" s="7" t="str">
        <f t="shared" si="18"/>
        <v/>
      </c>
      <c r="Q69" s="7" t="str">
        <f t="shared" si="19"/>
        <v>2026-01</v>
      </c>
      <c r="R69" s="12" t="s">
        <v>302</v>
      </c>
    </row>
    <row r="70" ht="15" hidden="1" customHeight="1" spans="1:18">
      <c r="A70" s="7">
        <v>69</v>
      </c>
      <c r="B70" s="7" t="s">
        <v>303</v>
      </c>
      <c r="C70" s="7" t="s">
        <v>304</v>
      </c>
      <c r="D70" s="11" t="s">
        <v>305</v>
      </c>
      <c r="E70" s="6">
        <v>46048</v>
      </c>
      <c r="F70" s="6">
        <v>46048</v>
      </c>
      <c r="G70" s="7">
        <f t="shared" si="10"/>
        <v>1</v>
      </c>
      <c r="H70" s="7">
        <v>1</v>
      </c>
      <c r="I70" s="7" t="str">
        <f t="shared" si="11"/>
        <v/>
      </c>
      <c r="J70" s="7" t="str">
        <f t="shared" si="12"/>
        <v/>
      </c>
      <c r="K70" s="7" t="str">
        <f t="shared" si="13"/>
        <v/>
      </c>
      <c r="L70" s="7" t="str">
        <f t="shared" si="14"/>
        <v>X</v>
      </c>
      <c r="M70" s="7" t="str">
        <f t="shared" si="15"/>
        <v/>
      </c>
      <c r="N70" s="7" t="str">
        <f t="shared" si="16"/>
        <v/>
      </c>
      <c r="O70" s="7" t="str">
        <f t="shared" si="17"/>
        <v/>
      </c>
      <c r="P70" s="7" t="str">
        <f t="shared" si="18"/>
        <v/>
      </c>
      <c r="Q70" s="7" t="str">
        <f t="shared" si="19"/>
        <v>2026-01</v>
      </c>
      <c r="R70" s="12" t="s">
        <v>306</v>
      </c>
    </row>
    <row r="71" ht="45.75" hidden="1" customHeight="1" spans="1:18">
      <c r="A71" s="7">
        <v>70</v>
      </c>
      <c r="B71" s="7" t="s">
        <v>307</v>
      </c>
      <c r="C71" s="7" t="s">
        <v>259</v>
      </c>
      <c r="D71" s="11" t="s">
        <v>308</v>
      </c>
      <c r="E71" s="6">
        <v>46038</v>
      </c>
      <c r="F71" s="6">
        <v>46043</v>
      </c>
      <c r="G71" s="7">
        <f t="shared" si="10"/>
        <v>6</v>
      </c>
      <c r="H71" s="7">
        <v>4</v>
      </c>
      <c r="I71" s="7" t="str">
        <f t="shared" si="11"/>
        <v/>
      </c>
      <c r="J71" s="7" t="str">
        <f t="shared" si="12"/>
        <v/>
      </c>
      <c r="K71" s="7" t="str">
        <f t="shared" si="13"/>
        <v/>
      </c>
      <c r="L71" s="7" t="str">
        <f t="shared" si="14"/>
        <v/>
      </c>
      <c r="M71" s="7" t="str">
        <f t="shared" si="15"/>
        <v>X</v>
      </c>
      <c r="N71" s="7" t="str">
        <f t="shared" si="16"/>
        <v/>
      </c>
      <c r="O71" s="7" t="str">
        <f t="shared" si="17"/>
        <v/>
      </c>
      <c r="P71" s="7" t="str">
        <f t="shared" si="18"/>
        <v/>
      </c>
      <c r="Q71" s="7" t="str">
        <f t="shared" si="19"/>
        <v>2026-01</v>
      </c>
      <c r="R71" s="12" t="s">
        <v>309</v>
      </c>
    </row>
    <row r="72" ht="79.5" customHeight="1" spans="1:18">
      <c r="A72" s="7">
        <v>71</v>
      </c>
      <c r="B72" s="7" t="s">
        <v>310</v>
      </c>
      <c r="C72" s="7" t="s">
        <v>66</v>
      </c>
      <c r="D72" s="11" t="s">
        <v>311</v>
      </c>
      <c r="E72" s="6">
        <v>46044</v>
      </c>
      <c r="F72" s="6">
        <v>46055</v>
      </c>
      <c r="G72" s="7">
        <f t="shared" si="10"/>
        <v>12</v>
      </c>
      <c r="H72" s="7">
        <v>7</v>
      </c>
      <c r="I72" s="7" t="str">
        <f t="shared" si="11"/>
        <v>X</v>
      </c>
      <c r="J72" s="7" t="str">
        <f t="shared" si="12"/>
        <v/>
      </c>
      <c r="K72" s="7" t="str">
        <f t="shared" si="13"/>
        <v/>
      </c>
      <c r="L72" s="7" t="str">
        <f t="shared" si="14"/>
        <v/>
      </c>
      <c r="M72" s="7" t="str">
        <f t="shared" si="15"/>
        <v/>
      </c>
      <c r="N72" s="7" t="str">
        <f t="shared" si="16"/>
        <v/>
      </c>
      <c r="O72" s="7" t="str">
        <f t="shared" si="17"/>
        <v/>
      </c>
      <c r="P72" s="7" t="str">
        <f t="shared" si="18"/>
        <v/>
      </c>
      <c r="Q72" s="7" t="str">
        <f t="shared" si="19"/>
        <v>2026-01</v>
      </c>
      <c r="R72" s="12" t="s">
        <v>312</v>
      </c>
    </row>
    <row r="73" ht="34.5" hidden="1" customHeight="1" spans="1:18">
      <c r="A73" s="7">
        <v>72</v>
      </c>
      <c r="B73" s="7" t="s">
        <v>313</v>
      </c>
      <c r="C73" s="7" t="s">
        <v>314</v>
      </c>
      <c r="D73" s="11" t="s">
        <v>315</v>
      </c>
      <c r="E73" s="6">
        <v>46037</v>
      </c>
      <c r="F73" s="6">
        <v>46041</v>
      </c>
      <c r="G73" s="7">
        <f t="shared" si="10"/>
        <v>5</v>
      </c>
      <c r="H73" s="7">
        <v>3</v>
      </c>
      <c r="I73" s="7" t="str">
        <f t="shared" si="11"/>
        <v/>
      </c>
      <c r="J73" s="7" t="str">
        <f t="shared" si="12"/>
        <v/>
      </c>
      <c r="K73" s="7" t="str">
        <f t="shared" si="13"/>
        <v/>
      </c>
      <c r="L73" s="7" t="str">
        <f t="shared" si="14"/>
        <v/>
      </c>
      <c r="M73" s="7" t="str">
        <f t="shared" si="15"/>
        <v/>
      </c>
      <c r="N73" s="7" t="str">
        <f t="shared" si="16"/>
        <v/>
      </c>
      <c r="O73" s="7" t="str">
        <f t="shared" si="17"/>
        <v/>
      </c>
      <c r="P73" s="7" t="str">
        <f t="shared" si="18"/>
        <v/>
      </c>
      <c r="Q73" s="7" t="str">
        <f t="shared" si="19"/>
        <v>2026-01</v>
      </c>
      <c r="R73" s="12" t="s">
        <v>316</v>
      </c>
    </row>
    <row r="74" ht="23.25" hidden="1" customHeight="1" spans="1:18">
      <c r="A74" s="7">
        <v>73</v>
      </c>
      <c r="B74" s="7" t="s">
        <v>317</v>
      </c>
      <c r="C74" s="7" t="s">
        <v>318</v>
      </c>
      <c r="D74" s="11" t="s">
        <v>319</v>
      </c>
      <c r="E74" s="6">
        <v>46027</v>
      </c>
      <c r="F74" s="6">
        <v>46027</v>
      </c>
      <c r="G74" s="7">
        <f t="shared" si="10"/>
        <v>1</v>
      </c>
      <c r="H74" s="7">
        <v>0</v>
      </c>
      <c r="I74" s="7" t="str">
        <f t="shared" si="11"/>
        <v/>
      </c>
      <c r="J74" s="7" t="str">
        <f t="shared" si="12"/>
        <v/>
      </c>
      <c r="K74" s="7" t="str">
        <f t="shared" si="13"/>
        <v/>
      </c>
      <c r="L74" s="7" t="str">
        <f t="shared" si="14"/>
        <v/>
      </c>
      <c r="M74" s="7" t="str">
        <f t="shared" si="15"/>
        <v/>
      </c>
      <c r="N74" s="7" t="str">
        <f t="shared" si="16"/>
        <v/>
      </c>
      <c r="O74" s="7" t="str">
        <f t="shared" si="17"/>
        <v>X</v>
      </c>
      <c r="P74" s="7" t="str">
        <f t="shared" si="18"/>
        <v/>
      </c>
      <c r="Q74" s="7" t="str">
        <f t="shared" si="19"/>
        <v>2026-01</v>
      </c>
      <c r="R74" s="12" t="s">
        <v>320</v>
      </c>
    </row>
  </sheetData>
  <pageMargins left="0.75" right="0.75" top="1" bottom="1" header="0.511811023622047" footer="0.511811023622047"/>
  <pageSetup paperSize="9" orientation="portrait" horizontalDpi="300" verticalDpi="300"/>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I116"/>
  <sheetViews>
    <sheetView tabSelected="1" workbookViewId="0">
      <pane xSplit="1" ySplit="5" topLeftCell="B19" activePane="bottomRight" state="frozen"/>
      <selection/>
      <selection pane="topRight"/>
      <selection pane="bottomLeft"/>
      <selection pane="bottomRight" activeCell="I122" sqref="I122"/>
    </sheetView>
  </sheetViews>
  <sheetFormatPr defaultColWidth="8.6796875" defaultRowHeight="16.8"/>
  <cols>
    <col min="1" max="1" width="2" style="1" customWidth="1"/>
    <col min="2" max="3" width="11" style="1" customWidth="1"/>
    <col min="4" max="4" width="9" style="1" customWidth="1"/>
    <col min="5" max="5" width="38" style="1" customWidth="1"/>
    <col min="6" max="6" width="11" style="1" customWidth="1"/>
    <col min="7" max="7" width="9" style="1" customWidth="1"/>
    <col min="8" max="8" width="38" style="1" customWidth="1"/>
    <col min="9" max="9" width="16" style="1" customWidth="1"/>
  </cols>
  <sheetData>
    <row r="2" ht="17.25" customHeight="1" spans="2:9">
      <c r="B2" s="2" t="s">
        <v>321</v>
      </c>
    </row>
    <row r="3" ht="30" customHeight="1" spans="2:9">
      <c r="B3" s="3" t="s">
        <v>322</v>
      </c>
      <c r="C3" s="3"/>
      <c r="D3" s="3"/>
      <c r="E3" s="3"/>
      <c r="F3" s="3"/>
      <c r="G3" s="3"/>
      <c r="H3" s="3"/>
      <c r="I3" s="3"/>
    </row>
    <row r="5" ht="27.75" customHeight="1" spans="2:9">
      <c r="B5" s="4" t="s">
        <v>323</v>
      </c>
      <c r="C5" s="4" t="s">
        <v>324</v>
      </c>
      <c r="D5" s="4" t="s">
        <v>325</v>
      </c>
      <c r="E5" s="4" t="s">
        <v>326</v>
      </c>
      <c r="F5" s="4" t="s">
        <v>327</v>
      </c>
      <c r="G5" s="4" t="s">
        <v>328</v>
      </c>
      <c r="H5" s="4" t="s">
        <v>329</v>
      </c>
      <c r="I5" s="4" t="s">
        <v>330</v>
      </c>
    </row>
    <row r="6" ht="15" hidden="1" customHeight="1" spans="2:9">
      <c r="B6" s="6">
        <v>46038</v>
      </c>
      <c r="C6" s="7" t="s">
        <v>307</v>
      </c>
      <c r="D6" s="7" t="s">
        <v>259</v>
      </c>
      <c r="E6" s="8" t="s">
        <v>331</v>
      </c>
      <c r="F6" s="7" t="s">
        <v>313</v>
      </c>
      <c r="G6" s="7" t="s">
        <v>314</v>
      </c>
      <c r="H6" s="8" t="s">
        <v>332</v>
      </c>
      <c r="I6" s="9" t="s">
        <v>333</v>
      </c>
    </row>
    <row r="7" ht="15" hidden="1" customHeight="1" spans="2:9">
      <c r="B7" s="6">
        <v>46041</v>
      </c>
      <c r="C7" s="7" t="s">
        <v>307</v>
      </c>
      <c r="D7" s="7" t="s">
        <v>259</v>
      </c>
      <c r="E7" s="8" t="s">
        <v>334</v>
      </c>
      <c r="F7" s="7" t="s">
        <v>313</v>
      </c>
      <c r="G7" s="7" t="s">
        <v>314</v>
      </c>
      <c r="H7" s="8" t="s">
        <v>335</v>
      </c>
      <c r="I7" s="9" t="s">
        <v>333</v>
      </c>
    </row>
    <row r="8" ht="15" hidden="1" customHeight="1" spans="2:9">
      <c r="B8" s="6">
        <v>46048</v>
      </c>
      <c r="C8" s="7" t="s">
        <v>303</v>
      </c>
      <c r="D8" s="7" t="s">
        <v>304</v>
      </c>
      <c r="E8" s="8" t="s">
        <v>336</v>
      </c>
      <c r="F8" s="7" t="s">
        <v>310</v>
      </c>
      <c r="G8" s="7" t="s">
        <v>66</v>
      </c>
      <c r="H8" s="8" t="s">
        <v>337</v>
      </c>
      <c r="I8" s="9" t="s">
        <v>333</v>
      </c>
    </row>
    <row r="9" ht="15" hidden="1" customHeight="1" spans="2:9">
      <c r="B9" s="6">
        <v>46052</v>
      </c>
      <c r="C9" s="7" t="s">
        <v>299</v>
      </c>
      <c r="D9" s="7" t="s">
        <v>300</v>
      </c>
      <c r="E9" s="8" t="s">
        <v>335</v>
      </c>
      <c r="F9" s="7" t="s">
        <v>310</v>
      </c>
      <c r="G9" s="7" t="s">
        <v>66</v>
      </c>
      <c r="H9" s="8" t="s">
        <v>335</v>
      </c>
      <c r="I9" s="9" t="s">
        <v>333</v>
      </c>
    </row>
    <row r="10" ht="15" hidden="1" customHeight="1" spans="2:9">
      <c r="B10" s="6">
        <v>46055</v>
      </c>
      <c r="C10" s="7" t="s">
        <v>292</v>
      </c>
      <c r="D10" s="7" t="s">
        <v>293</v>
      </c>
      <c r="E10" s="8" t="s">
        <v>338</v>
      </c>
      <c r="F10" s="7" t="s">
        <v>299</v>
      </c>
      <c r="G10" s="7" t="s">
        <v>300</v>
      </c>
      <c r="H10" s="8" t="s">
        <v>335</v>
      </c>
      <c r="I10" s="9" t="s">
        <v>333</v>
      </c>
    </row>
    <row r="11" ht="15" hidden="1" customHeight="1" spans="2:9">
      <c r="B11" s="6">
        <v>46055</v>
      </c>
      <c r="C11" s="7" t="s">
        <v>299</v>
      </c>
      <c r="D11" s="7" t="s">
        <v>300</v>
      </c>
      <c r="E11" s="8" t="s">
        <v>335</v>
      </c>
      <c r="F11" s="7" t="s">
        <v>310</v>
      </c>
      <c r="G11" s="7" t="s">
        <v>66</v>
      </c>
      <c r="H11" s="8" t="s">
        <v>335</v>
      </c>
      <c r="I11" s="9" t="s">
        <v>333</v>
      </c>
    </row>
    <row r="12" ht="15" hidden="1" customHeight="1" spans="2:9">
      <c r="B12" s="6">
        <v>46055</v>
      </c>
      <c r="C12" s="7" t="s">
        <v>292</v>
      </c>
      <c r="D12" s="7" t="s">
        <v>293</v>
      </c>
      <c r="E12" s="8" t="s">
        <v>338</v>
      </c>
      <c r="F12" s="7" t="s">
        <v>310</v>
      </c>
      <c r="G12" s="7" t="s">
        <v>66</v>
      </c>
      <c r="H12" s="8" t="s">
        <v>335</v>
      </c>
      <c r="I12" s="9" t="s">
        <v>333</v>
      </c>
    </row>
    <row r="13" ht="15" hidden="1" customHeight="1" spans="2:9">
      <c r="B13" s="6">
        <v>46057</v>
      </c>
      <c r="C13" s="7" t="s">
        <v>292</v>
      </c>
      <c r="D13" s="7" t="s">
        <v>293</v>
      </c>
      <c r="E13" s="8" t="s">
        <v>335</v>
      </c>
      <c r="F13" s="7" t="s">
        <v>296</v>
      </c>
      <c r="G13" s="7" t="s">
        <v>156</v>
      </c>
      <c r="H13" s="8" t="s">
        <v>339</v>
      </c>
      <c r="I13" s="9" t="s">
        <v>333</v>
      </c>
    </row>
    <row r="14" ht="15" hidden="1" customHeight="1" spans="2:9">
      <c r="B14" s="6">
        <v>46058</v>
      </c>
      <c r="C14" s="7" t="s">
        <v>292</v>
      </c>
      <c r="D14" s="7" t="s">
        <v>293</v>
      </c>
      <c r="E14" s="8" t="s">
        <v>335</v>
      </c>
      <c r="F14" s="7" t="s">
        <v>296</v>
      </c>
      <c r="G14" s="7" t="s">
        <v>156</v>
      </c>
      <c r="H14" s="8" t="s">
        <v>340</v>
      </c>
      <c r="I14" s="9" t="s">
        <v>333</v>
      </c>
    </row>
    <row r="15" ht="15" hidden="1" customHeight="1" spans="2:9">
      <c r="B15" s="6">
        <v>46058</v>
      </c>
      <c r="C15" s="7" t="s">
        <v>288</v>
      </c>
      <c r="D15" s="7" t="s">
        <v>289</v>
      </c>
      <c r="E15" s="8" t="s">
        <v>341</v>
      </c>
      <c r="F15" s="7" t="s">
        <v>296</v>
      </c>
      <c r="G15" s="7" t="s">
        <v>156</v>
      </c>
      <c r="H15" s="8" t="s">
        <v>340</v>
      </c>
      <c r="I15" s="9" t="s">
        <v>333</v>
      </c>
    </row>
    <row r="16" ht="15" hidden="1" customHeight="1" spans="2:9">
      <c r="B16" s="6">
        <v>46058</v>
      </c>
      <c r="C16" s="7" t="s">
        <v>288</v>
      </c>
      <c r="D16" s="7" t="s">
        <v>289</v>
      </c>
      <c r="E16" s="8" t="s">
        <v>341</v>
      </c>
      <c r="F16" s="7" t="s">
        <v>292</v>
      </c>
      <c r="G16" s="7" t="s">
        <v>293</v>
      </c>
      <c r="H16" s="8" t="s">
        <v>335</v>
      </c>
      <c r="I16" s="9" t="s">
        <v>333</v>
      </c>
    </row>
    <row r="17" ht="15" hidden="1" customHeight="1" spans="2:9">
      <c r="B17" s="6">
        <v>46064</v>
      </c>
      <c r="C17" s="7" t="s">
        <v>288</v>
      </c>
      <c r="D17" s="7" t="s">
        <v>289</v>
      </c>
      <c r="E17" s="8" t="s">
        <v>342</v>
      </c>
      <c r="F17" s="7" t="s">
        <v>296</v>
      </c>
      <c r="G17" s="7" t="s">
        <v>156</v>
      </c>
      <c r="H17" s="8" t="s">
        <v>343</v>
      </c>
      <c r="I17" s="9" t="s">
        <v>333</v>
      </c>
    </row>
    <row r="18" ht="15" hidden="1" customHeight="1" spans="2:9">
      <c r="B18" s="6">
        <v>46065</v>
      </c>
      <c r="C18" s="7" t="s">
        <v>281</v>
      </c>
      <c r="D18" s="7" t="s">
        <v>282</v>
      </c>
      <c r="E18" s="8" t="s">
        <v>344</v>
      </c>
      <c r="F18" s="7" t="s">
        <v>288</v>
      </c>
      <c r="G18" s="7" t="s">
        <v>289</v>
      </c>
      <c r="H18" s="8" t="s">
        <v>335</v>
      </c>
      <c r="I18" s="9" t="s">
        <v>333</v>
      </c>
    </row>
    <row r="19" ht="23.25" hidden="1" customHeight="1" spans="2:9">
      <c r="B19" s="6">
        <v>46078</v>
      </c>
      <c r="C19" s="7" t="s">
        <v>278</v>
      </c>
      <c r="D19" s="7" t="s">
        <v>229</v>
      </c>
      <c r="E19" s="8" t="s">
        <v>345</v>
      </c>
      <c r="F19" s="7" t="s">
        <v>281</v>
      </c>
      <c r="G19" s="7" t="s">
        <v>282</v>
      </c>
      <c r="H19" s="8" t="s">
        <v>335</v>
      </c>
      <c r="I19" s="9" t="s">
        <v>333</v>
      </c>
    </row>
    <row r="20" ht="23.25" hidden="1" customHeight="1" spans="2:9">
      <c r="B20" s="6">
        <v>46078</v>
      </c>
      <c r="C20" s="7" t="s">
        <v>278</v>
      </c>
      <c r="D20" s="7" t="s">
        <v>229</v>
      </c>
      <c r="E20" s="8" t="s">
        <v>345</v>
      </c>
      <c r="F20" s="7" t="s">
        <v>285</v>
      </c>
      <c r="G20" s="7" t="s">
        <v>263</v>
      </c>
      <c r="H20" s="8" t="s">
        <v>346</v>
      </c>
      <c r="I20" s="9" t="s">
        <v>333</v>
      </c>
    </row>
    <row r="21" ht="15" hidden="1" customHeight="1" spans="2:9">
      <c r="B21" s="6">
        <v>46078</v>
      </c>
      <c r="C21" s="7" t="s">
        <v>281</v>
      </c>
      <c r="D21" s="7" t="s">
        <v>282</v>
      </c>
      <c r="E21" s="8" t="s">
        <v>335</v>
      </c>
      <c r="F21" s="7" t="s">
        <v>285</v>
      </c>
      <c r="G21" s="7" t="s">
        <v>263</v>
      </c>
      <c r="H21" s="8" t="s">
        <v>346</v>
      </c>
      <c r="I21" s="9" t="s">
        <v>333</v>
      </c>
    </row>
    <row r="22" ht="15" hidden="1" customHeight="1" spans="2:9">
      <c r="B22" s="6">
        <v>46079</v>
      </c>
      <c r="C22" s="7" t="s">
        <v>278</v>
      </c>
      <c r="D22" s="7" t="s">
        <v>229</v>
      </c>
      <c r="E22" s="8" t="s">
        <v>347</v>
      </c>
      <c r="F22" s="7" t="s">
        <v>285</v>
      </c>
      <c r="G22" s="7" t="s">
        <v>263</v>
      </c>
      <c r="H22" s="8" t="s">
        <v>348</v>
      </c>
      <c r="I22" s="9" t="s">
        <v>333</v>
      </c>
    </row>
    <row r="23" ht="15" hidden="1" customHeight="1" spans="2:9">
      <c r="B23" s="6">
        <v>46083</v>
      </c>
      <c r="C23" s="7" t="s">
        <v>278</v>
      </c>
      <c r="D23" s="7" t="s">
        <v>229</v>
      </c>
      <c r="E23" s="8" t="s">
        <v>349</v>
      </c>
      <c r="F23" s="7" t="s">
        <v>285</v>
      </c>
      <c r="G23" s="7" t="s">
        <v>263</v>
      </c>
      <c r="H23" s="8" t="s">
        <v>350</v>
      </c>
      <c r="I23" s="9" t="s">
        <v>333</v>
      </c>
    </row>
    <row r="24" ht="15" hidden="1" customHeight="1" spans="2:9">
      <c r="B24" s="6">
        <v>46084</v>
      </c>
      <c r="C24" s="7" t="s">
        <v>278</v>
      </c>
      <c r="D24" s="7" t="s">
        <v>229</v>
      </c>
      <c r="E24" s="8" t="s">
        <v>351</v>
      </c>
      <c r="F24" s="7" t="s">
        <v>285</v>
      </c>
      <c r="G24" s="7" t="s">
        <v>263</v>
      </c>
      <c r="H24" s="8" t="s">
        <v>352</v>
      </c>
      <c r="I24" s="10" t="s">
        <v>353</v>
      </c>
    </row>
    <row r="25" ht="15" hidden="1" customHeight="1" spans="2:9">
      <c r="B25" s="6">
        <v>46084</v>
      </c>
      <c r="C25" s="7" t="s">
        <v>274</v>
      </c>
      <c r="D25" s="7" t="s">
        <v>275</v>
      </c>
      <c r="E25" s="8" t="s">
        <v>354</v>
      </c>
      <c r="F25" s="7" t="s">
        <v>285</v>
      </c>
      <c r="G25" s="7" t="s">
        <v>263</v>
      </c>
      <c r="H25" s="8" t="s">
        <v>352</v>
      </c>
      <c r="I25" s="10" t="s">
        <v>353</v>
      </c>
    </row>
    <row r="26" ht="15" hidden="1" customHeight="1" spans="2:9">
      <c r="B26" s="6">
        <v>46084</v>
      </c>
      <c r="C26" s="7" t="s">
        <v>274</v>
      </c>
      <c r="D26" s="7" t="s">
        <v>275</v>
      </c>
      <c r="E26" s="8" t="s">
        <v>354</v>
      </c>
      <c r="F26" s="7" t="s">
        <v>278</v>
      </c>
      <c r="G26" s="7" t="s">
        <v>229</v>
      </c>
      <c r="H26" s="8" t="s">
        <v>351</v>
      </c>
      <c r="I26" s="9" t="s">
        <v>333</v>
      </c>
    </row>
    <row r="27" ht="15" hidden="1" customHeight="1" spans="2:9">
      <c r="B27" s="6">
        <v>46086</v>
      </c>
      <c r="C27" s="7" t="s">
        <v>262</v>
      </c>
      <c r="D27" s="7" t="s">
        <v>263</v>
      </c>
      <c r="E27" s="8" t="s">
        <v>355</v>
      </c>
      <c r="F27" s="7" t="s">
        <v>274</v>
      </c>
      <c r="G27" s="7" t="s">
        <v>275</v>
      </c>
      <c r="H27" s="8" t="s">
        <v>356</v>
      </c>
      <c r="I27" s="10" t="s">
        <v>353</v>
      </c>
    </row>
    <row r="28" ht="15" hidden="1" customHeight="1" spans="2:9">
      <c r="B28" s="6">
        <v>46086</v>
      </c>
      <c r="C28" s="7" t="s">
        <v>258</v>
      </c>
      <c r="D28" s="7" t="s">
        <v>259</v>
      </c>
      <c r="E28" s="8" t="s">
        <v>357</v>
      </c>
      <c r="F28" s="7" t="s">
        <v>262</v>
      </c>
      <c r="G28" s="7" t="s">
        <v>263</v>
      </c>
      <c r="H28" s="8" t="s">
        <v>355</v>
      </c>
      <c r="I28" s="10" t="s">
        <v>353</v>
      </c>
    </row>
    <row r="29" ht="15" hidden="1" customHeight="1" spans="2:9">
      <c r="B29" s="6">
        <v>46087</v>
      </c>
      <c r="C29" s="7" t="s">
        <v>258</v>
      </c>
      <c r="D29" s="7" t="s">
        <v>259</v>
      </c>
      <c r="E29" s="8" t="s">
        <v>358</v>
      </c>
      <c r="F29" s="7" t="s">
        <v>262</v>
      </c>
      <c r="G29" s="7" t="s">
        <v>263</v>
      </c>
      <c r="H29" s="8" t="s">
        <v>359</v>
      </c>
      <c r="I29" s="9" t="s">
        <v>333</v>
      </c>
    </row>
    <row r="30" ht="15" hidden="1" customHeight="1" spans="2:9">
      <c r="B30" s="6">
        <v>46090</v>
      </c>
      <c r="C30" s="7" t="s">
        <v>250</v>
      </c>
      <c r="D30" s="7" t="s">
        <v>251</v>
      </c>
      <c r="E30" s="8" t="s">
        <v>360</v>
      </c>
      <c r="F30" s="7" t="s">
        <v>253</v>
      </c>
      <c r="G30" s="7" t="s">
        <v>254</v>
      </c>
      <c r="H30" s="8" t="s">
        <v>361</v>
      </c>
      <c r="I30" s="9" t="s">
        <v>333</v>
      </c>
    </row>
    <row r="31" ht="15" hidden="1" customHeight="1" spans="2:9">
      <c r="B31" s="6">
        <v>46090</v>
      </c>
      <c r="C31" s="7" t="s">
        <v>250</v>
      </c>
      <c r="D31" s="7" t="s">
        <v>251</v>
      </c>
      <c r="E31" s="8" t="s">
        <v>360</v>
      </c>
      <c r="F31" s="7" t="s">
        <v>256</v>
      </c>
      <c r="G31" s="7" t="s">
        <v>132</v>
      </c>
      <c r="H31" s="8" t="s">
        <v>361</v>
      </c>
      <c r="I31" s="9" t="s">
        <v>333</v>
      </c>
    </row>
    <row r="32" ht="15" hidden="1" customHeight="1" spans="2:9">
      <c r="B32" s="6">
        <v>46090</v>
      </c>
      <c r="C32" s="7" t="s">
        <v>250</v>
      </c>
      <c r="D32" s="7" t="s">
        <v>251</v>
      </c>
      <c r="E32" s="8" t="s">
        <v>360</v>
      </c>
      <c r="F32" s="7" t="s">
        <v>257</v>
      </c>
      <c r="G32" s="7" t="s">
        <v>156</v>
      </c>
      <c r="H32" s="8" t="s">
        <v>361</v>
      </c>
      <c r="I32" s="9" t="s">
        <v>333</v>
      </c>
    </row>
    <row r="33" ht="15" hidden="1" customHeight="1" spans="2:9">
      <c r="B33" s="6">
        <v>46090</v>
      </c>
      <c r="C33" s="7" t="s">
        <v>250</v>
      </c>
      <c r="D33" s="7" t="s">
        <v>251</v>
      </c>
      <c r="E33" s="8" t="s">
        <v>360</v>
      </c>
      <c r="F33" s="7" t="s">
        <v>258</v>
      </c>
      <c r="G33" s="7" t="s">
        <v>259</v>
      </c>
      <c r="H33" s="8" t="s">
        <v>362</v>
      </c>
      <c r="I33" s="9" t="s">
        <v>333</v>
      </c>
    </row>
    <row r="34" ht="15" hidden="1" customHeight="1" spans="2:9">
      <c r="B34" s="6">
        <v>46090</v>
      </c>
      <c r="C34" s="7" t="s">
        <v>253</v>
      </c>
      <c r="D34" s="7" t="s">
        <v>254</v>
      </c>
      <c r="E34" s="8" t="s">
        <v>361</v>
      </c>
      <c r="F34" s="7" t="s">
        <v>257</v>
      </c>
      <c r="G34" s="7" t="s">
        <v>156</v>
      </c>
      <c r="H34" s="8" t="s">
        <v>361</v>
      </c>
      <c r="I34" s="9" t="s">
        <v>333</v>
      </c>
    </row>
    <row r="35" ht="15" hidden="1" customHeight="1" spans="2:9">
      <c r="B35" s="6">
        <v>46090</v>
      </c>
      <c r="C35" s="7" t="s">
        <v>253</v>
      </c>
      <c r="D35" s="7" t="s">
        <v>254</v>
      </c>
      <c r="E35" s="8" t="s">
        <v>361</v>
      </c>
      <c r="F35" s="7" t="s">
        <v>258</v>
      </c>
      <c r="G35" s="7" t="s">
        <v>259</v>
      </c>
      <c r="H35" s="8" t="s">
        <v>362</v>
      </c>
      <c r="I35" s="9" t="s">
        <v>333</v>
      </c>
    </row>
    <row r="36" ht="15" hidden="1" customHeight="1" spans="2:9">
      <c r="B36" s="6">
        <v>46090</v>
      </c>
      <c r="C36" s="7" t="s">
        <v>253</v>
      </c>
      <c r="D36" s="7" t="s">
        <v>254</v>
      </c>
      <c r="E36" s="8" t="s">
        <v>361</v>
      </c>
      <c r="F36" s="7" t="s">
        <v>256</v>
      </c>
      <c r="G36" s="7" t="s">
        <v>132</v>
      </c>
      <c r="H36" s="8" t="s">
        <v>361</v>
      </c>
      <c r="I36" s="9" t="s">
        <v>333</v>
      </c>
    </row>
    <row r="37" ht="15" hidden="1" customHeight="1" spans="2:9">
      <c r="B37" s="6">
        <v>46090</v>
      </c>
      <c r="C37" s="7" t="s">
        <v>256</v>
      </c>
      <c r="D37" s="7" t="s">
        <v>132</v>
      </c>
      <c r="E37" s="8" t="s">
        <v>361</v>
      </c>
      <c r="F37" s="7" t="s">
        <v>257</v>
      </c>
      <c r="G37" s="7" t="s">
        <v>156</v>
      </c>
      <c r="H37" s="8" t="s">
        <v>361</v>
      </c>
      <c r="I37" s="9" t="s">
        <v>333</v>
      </c>
    </row>
    <row r="38" ht="15" hidden="1" customHeight="1" spans="2:9">
      <c r="B38" s="6">
        <v>46090</v>
      </c>
      <c r="C38" s="7" t="s">
        <v>256</v>
      </c>
      <c r="D38" s="7" t="s">
        <v>132</v>
      </c>
      <c r="E38" s="8" t="s">
        <v>361</v>
      </c>
      <c r="F38" s="7" t="s">
        <v>258</v>
      </c>
      <c r="G38" s="7" t="s">
        <v>259</v>
      </c>
      <c r="H38" s="8" t="s">
        <v>362</v>
      </c>
      <c r="I38" s="9" t="s">
        <v>333</v>
      </c>
    </row>
    <row r="39" ht="15" hidden="1" customHeight="1" spans="2:9">
      <c r="B39" s="6">
        <v>46090</v>
      </c>
      <c r="C39" s="7" t="s">
        <v>257</v>
      </c>
      <c r="D39" s="7" t="s">
        <v>156</v>
      </c>
      <c r="E39" s="8" t="s">
        <v>361</v>
      </c>
      <c r="F39" s="7" t="s">
        <v>258</v>
      </c>
      <c r="G39" s="7" t="s">
        <v>259</v>
      </c>
      <c r="H39" s="8" t="s">
        <v>362</v>
      </c>
      <c r="I39" s="9" t="s">
        <v>333</v>
      </c>
    </row>
    <row r="40" ht="15" hidden="1" customHeight="1" spans="2:9">
      <c r="B40" s="6">
        <v>46091</v>
      </c>
      <c r="C40" s="7" t="s">
        <v>246</v>
      </c>
      <c r="D40" s="7" t="s">
        <v>247</v>
      </c>
      <c r="E40" s="8" t="s">
        <v>363</v>
      </c>
      <c r="F40" s="7" t="s">
        <v>266</v>
      </c>
      <c r="G40" s="7" t="s">
        <v>267</v>
      </c>
      <c r="H40" s="8" t="s">
        <v>364</v>
      </c>
      <c r="I40" s="9" t="s">
        <v>333</v>
      </c>
    </row>
    <row r="41" ht="15" hidden="1" customHeight="1" spans="2:9">
      <c r="B41" s="6">
        <v>46092</v>
      </c>
      <c r="C41" s="7" t="s">
        <v>250</v>
      </c>
      <c r="D41" s="7" t="s">
        <v>251</v>
      </c>
      <c r="E41" s="8" t="s">
        <v>365</v>
      </c>
      <c r="F41" s="7" t="s">
        <v>266</v>
      </c>
      <c r="G41" s="7" t="s">
        <v>267</v>
      </c>
      <c r="H41" s="8" t="s">
        <v>366</v>
      </c>
      <c r="I41" s="10" t="s">
        <v>353</v>
      </c>
    </row>
    <row r="42" ht="15" hidden="1" customHeight="1" spans="2:9">
      <c r="B42" s="6">
        <v>46093</v>
      </c>
      <c r="C42" s="7" t="s">
        <v>231</v>
      </c>
      <c r="D42" s="7" t="s">
        <v>232</v>
      </c>
      <c r="E42" s="8" t="s">
        <v>367</v>
      </c>
      <c r="F42" s="7" t="s">
        <v>239</v>
      </c>
      <c r="G42" s="7" t="s">
        <v>240</v>
      </c>
      <c r="H42" s="8" t="s">
        <v>368</v>
      </c>
      <c r="I42" s="9" t="s">
        <v>333</v>
      </c>
    </row>
    <row r="43" ht="23.25" hidden="1" customHeight="1" spans="2:9">
      <c r="B43" s="6">
        <v>46094</v>
      </c>
      <c r="C43" s="7" t="s">
        <v>235</v>
      </c>
      <c r="D43" s="7" t="s">
        <v>236</v>
      </c>
      <c r="E43" s="8" t="s">
        <v>369</v>
      </c>
      <c r="F43" s="7" t="s">
        <v>270</v>
      </c>
      <c r="G43" s="7" t="s">
        <v>271</v>
      </c>
      <c r="H43" s="8" t="s">
        <v>370</v>
      </c>
      <c r="I43" s="9" t="s">
        <v>333</v>
      </c>
    </row>
    <row r="44" ht="15" hidden="1" customHeight="1" spans="2:9">
      <c r="B44" s="6">
        <v>46104</v>
      </c>
      <c r="C44" s="7" t="s">
        <v>209</v>
      </c>
      <c r="D44" s="7" t="s">
        <v>210</v>
      </c>
      <c r="E44" s="8" t="s">
        <v>371</v>
      </c>
      <c r="F44" s="7" t="s">
        <v>243</v>
      </c>
      <c r="G44" s="7" t="s">
        <v>210</v>
      </c>
      <c r="H44" s="8" t="s">
        <v>372</v>
      </c>
      <c r="I44" s="9" t="s">
        <v>333</v>
      </c>
    </row>
    <row r="45" ht="15" hidden="1" customHeight="1" spans="2:9">
      <c r="B45" s="6">
        <v>46104</v>
      </c>
      <c r="C45" s="7" t="s">
        <v>209</v>
      </c>
      <c r="D45" s="7" t="s">
        <v>210</v>
      </c>
      <c r="E45" s="8" t="s">
        <v>371</v>
      </c>
      <c r="F45" s="7" t="s">
        <v>228</v>
      </c>
      <c r="G45" s="7" t="s">
        <v>229</v>
      </c>
      <c r="H45" s="8" t="s">
        <v>373</v>
      </c>
      <c r="I45" s="9" t="s">
        <v>333</v>
      </c>
    </row>
    <row r="46" ht="15" hidden="1" customHeight="1" spans="2:9">
      <c r="B46" s="6">
        <v>46104</v>
      </c>
      <c r="C46" s="7" t="s">
        <v>228</v>
      </c>
      <c r="D46" s="7" t="s">
        <v>229</v>
      </c>
      <c r="E46" s="8" t="s">
        <v>373</v>
      </c>
      <c r="F46" s="7" t="s">
        <v>243</v>
      </c>
      <c r="G46" s="7" t="s">
        <v>210</v>
      </c>
      <c r="H46" s="8" t="s">
        <v>372</v>
      </c>
      <c r="I46" s="9" t="s">
        <v>333</v>
      </c>
    </row>
    <row r="47" ht="15" hidden="1" customHeight="1" spans="2:9">
      <c r="B47" s="6">
        <v>46106</v>
      </c>
      <c r="C47" s="7" t="s">
        <v>216</v>
      </c>
      <c r="D47" s="7" t="s">
        <v>217</v>
      </c>
      <c r="E47" s="8" t="s">
        <v>374</v>
      </c>
      <c r="F47" s="7" t="s">
        <v>243</v>
      </c>
      <c r="G47" s="7" t="s">
        <v>210</v>
      </c>
      <c r="H47" s="8" t="s">
        <v>359</v>
      </c>
      <c r="I47" s="9" t="s">
        <v>333</v>
      </c>
    </row>
    <row r="48" ht="15" hidden="1" customHeight="1" spans="2:9">
      <c r="B48" s="6">
        <v>46107</v>
      </c>
      <c r="C48" s="7" t="s">
        <v>216</v>
      </c>
      <c r="D48" s="7" t="s">
        <v>217</v>
      </c>
      <c r="E48" s="8" t="s">
        <v>375</v>
      </c>
      <c r="F48" s="7" t="s">
        <v>220</v>
      </c>
      <c r="G48" s="7" t="s">
        <v>221</v>
      </c>
      <c r="H48" s="8" t="s">
        <v>376</v>
      </c>
      <c r="I48" s="9" t="s">
        <v>333</v>
      </c>
    </row>
    <row r="49" ht="15" hidden="1" customHeight="1" spans="2:9">
      <c r="B49" s="6">
        <v>46108</v>
      </c>
      <c r="C49" s="7" t="s">
        <v>213</v>
      </c>
      <c r="D49" s="7" t="s">
        <v>58</v>
      </c>
      <c r="E49" s="8" t="s">
        <v>377</v>
      </c>
      <c r="F49" s="7" t="s">
        <v>216</v>
      </c>
      <c r="G49" s="7" t="s">
        <v>217</v>
      </c>
      <c r="H49" s="8" t="s">
        <v>378</v>
      </c>
      <c r="I49" s="10" t="s">
        <v>353</v>
      </c>
    </row>
    <row r="50" ht="15" hidden="1" customHeight="1" spans="2:9">
      <c r="B50" s="6">
        <v>46108</v>
      </c>
      <c r="C50" s="7" t="s">
        <v>216</v>
      </c>
      <c r="D50" s="7" t="s">
        <v>217</v>
      </c>
      <c r="E50" s="8" t="s">
        <v>378</v>
      </c>
      <c r="F50" s="7" t="s">
        <v>220</v>
      </c>
      <c r="G50" s="7" t="s">
        <v>221</v>
      </c>
      <c r="H50" s="8" t="s">
        <v>379</v>
      </c>
      <c r="I50" s="10" t="s">
        <v>353</v>
      </c>
    </row>
    <row r="51" ht="15" hidden="1" customHeight="1" spans="2:9">
      <c r="B51" s="6">
        <v>46108</v>
      </c>
      <c r="C51" s="7" t="s">
        <v>213</v>
      </c>
      <c r="D51" s="7" t="s">
        <v>58</v>
      </c>
      <c r="E51" s="8" t="s">
        <v>377</v>
      </c>
      <c r="F51" s="7" t="s">
        <v>220</v>
      </c>
      <c r="G51" s="7" t="s">
        <v>221</v>
      </c>
      <c r="H51" s="8" t="s">
        <v>379</v>
      </c>
      <c r="I51" s="9" t="s">
        <v>333</v>
      </c>
    </row>
    <row r="52" ht="15" hidden="1" customHeight="1" spans="2:9">
      <c r="B52" s="6">
        <v>46111</v>
      </c>
      <c r="C52" s="7" t="s">
        <v>202</v>
      </c>
      <c r="D52" s="7" t="s">
        <v>203</v>
      </c>
      <c r="E52" s="8" t="s">
        <v>380</v>
      </c>
      <c r="F52" s="7" t="s">
        <v>213</v>
      </c>
      <c r="G52" s="7" t="s">
        <v>58</v>
      </c>
      <c r="H52" s="8" t="s">
        <v>381</v>
      </c>
      <c r="I52" s="9" t="s">
        <v>333</v>
      </c>
    </row>
    <row r="53" ht="15" hidden="1" customHeight="1" spans="2:9">
      <c r="B53" s="6">
        <v>46118</v>
      </c>
      <c r="C53" s="7" t="s">
        <v>194</v>
      </c>
      <c r="D53" s="7" t="s">
        <v>195</v>
      </c>
      <c r="E53" s="8" t="s">
        <v>382</v>
      </c>
      <c r="F53" s="7" t="s">
        <v>224</v>
      </c>
      <c r="G53" s="7" t="s">
        <v>225</v>
      </c>
      <c r="H53" s="8" t="s">
        <v>383</v>
      </c>
      <c r="I53" s="9" t="s">
        <v>333</v>
      </c>
    </row>
    <row r="54" ht="15" hidden="1" customHeight="1" spans="2:9">
      <c r="B54" s="6">
        <v>46121</v>
      </c>
      <c r="C54" s="7" t="s">
        <v>191</v>
      </c>
      <c r="D54" s="7" t="s">
        <v>58</v>
      </c>
      <c r="E54" s="8" t="s">
        <v>384</v>
      </c>
      <c r="F54" s="7" t="s">
        <v>198</v>
      </c>
      <c r="G54" s="7" t="s">
        <v>199</v>
      </c>
      <c r="H54" s="8" t="s">
        <v>385</v>
      </c>
      <c r="I54" s="9" t="s">
        <v>333</v>
      </c>
    </row>
    <row r="55" ht="23.25" hidden="1" customHeight="1" spans="2:9">
      <c r="B55" s="6">
        <v>46121</v>
      </c>
      <c r="C55" s="7" t="s">
        <v>187</v>
      </c>
      <c r="D55" s="7" t="s">
        <v>188</v>
      </c>
      <c r="E55" s="8" t="s">
        <v>386</v>
      </c>
      <c r="F55" s="7" t="s">
        <v>198</v>
      </c>
      <c r="G55" s="7" t="s">
        <v>199</v>
      </c>
      <c r="H55" s="8" t="s">
        <v>385</v>
      </c>
      <c r="I55" s="10" t="s">
        <v>353</v>
      </c>
    </row>
    <row r="56" ht="23.25" hidden="1" customHeight="1" spans="2:9">
      <c r="B56" s="6">
        <v>46121</v>
      </c>
      <c r="C56" s="7" t="s">
        <v>187</v>
      </c>
      <c r="D56" s="7" t="s">
        <v>188</v>
      </c>
      <c r="E56" s="8" t="s">
        <v>386</v>
      </c>
      <c r="F56" s="7" t="s">
        <v>191</v>
      </c>
      <c r="G56" s="7" t="s">
        <v>58</v>
      </c>
      <c r="H56" s="8" t="s">
        <v>384</v>
      </c>
      <c r="I56" s="10" t="s">
        <v>353</v>
      </c>
    </row>
    <row r="57" ht="23.25" hidden="1" customHeight="1" spans="2:9">
      <c r="B57" s="6">
        <v>46122</v>
      </c>
      <c r="C57" s="7" t="s">
        <v>187</v>
      </c>
      <c r="D57" s="7" t="s">
        <v>188</v>
      </c>
      <c r="E57" s="8" t="s">
        <v>387</v>
      </c>
      <c r="F57" s="7" t="s">
        <v>198</v>
      </c>
      <c r="G57" s="7" t="s">
        <v>199</v>
      </c>
      <c r="H57" s="8" t="s">
        <v>388</v>
      </c>
      <c r="I57" s="10" t="s">
        <v>353</v>
      </c>
    </row>
    <row r="58" ht="15" hidden="1" customHeight="1" spans="2:9">
      <c r="B58" s="6">
        <v>46123</v>
      </c>
      <c r="C58" s="7" t="s">
        <v>183</v>
      </c>
      <c r="D58" s="7" t="s">
        <v>184</v>
      </c>
      <c r="E58" s="8" t="s">
        <v>389</v>
      </c>
      <c r="F58" s="7" t="s">
        <v>198</v>
      </c>
      <c r="G58" s="7" t="s">
        <v>199</v>
      </c>
      <c r="H58" s="8" t="s">
        <v>390</v>
      </c>
      <c r="I58" s="9" t="s">
        <v>333</v>
      </c>
    </row>
    <row r="59" ht="23.25" hidden="1" customHeight="1" spans="2:9">
      <c r="B59" s="6">
        <v>46123</v>
      </c>
      <c r="C59" s="7" t="s">
        <v>187</v>
      </c>
      <c r="D59" s="7" t="s">
        <v>188</v>
      </c>
      <c r="E59" s="8" t="s">
        <v>391</v>
      </c>
      <c r="F59" s="7" t="s">
        <v>198</v>
      </c>
      <c r="G59" s="7" t="s">
        <v>199</v>
      </c>
      <c r="H59" s="8" t="s">
        <v>390</v>
      </c>
      <c r="I59" s="9" t="s">
        <v>333</v>
      </c>
    </row>
    <row r="60" ht="23.25" hidden="1" customHeight="1" spans="2:9">
      <c r="B60" s="6">
        <v>46123</v>
      </c>
      <c r="C60" s="7" t="s">
        <v>183</v>
      </c>
      <c r="D60" s="7" t="s">
        <v>184</v>
      </c>
      <c r="E60" s="8" t="s">
        <v>389</v>
      </c>
      <c r="F60" s="7" t="s">
        <v>187</v>
      </c>
      <c r="G60" s="7" t="s">
        <v>188</v>
      </c>
      <c r="H60" s="8" t="s">
        <v>391</v>
      </c>
      <c r="I60" s="9" t="s">
        <v>333</v>
      </c>
    </row>
    <row r="61" ht="23.25" hidden="1" customHeight="1" spans="2:9">
      <c r="B61" s="6">
        <v>46125</v>
      </c>
      <c r="C61" s="7" t="s">
        <v>183</v>
      </c>
      <c r="D61" s="7" t="s">
        <v>184</v>
      </c>
      <c r="E61" s="8" t="s">
        <v>392</v>
      </c>
      <c r="F61" s="7" t="s">
        <v>206</v>
      </c>
      <c r="G61" s="7" t="s">
        <v>124</v>
      </c>
      <c r="H61" s="8" t="s">
        <v>393</v>
      </c>
      <c r="I61" s="9" t="s">
        <v>333</v>
      </c>
    </row>
    <row r="62" ht="15" hidden="1" customHeight="1" spans="2:9">
      <c r="B62" s="6">
        <v>46127</v>
      </c>
      <c r="C62" s="7" t="s">
        <v>176</v>
      </c>
      <c r="D62" s="7" t="s">
        <v>177</v>
      </c>
      <c r="E62" s="8" t="s">
        <v>394</v>
      </c>
      <c r="F62" s="7" t="s">
        <v>206</v>
      </c>
      <c r="G62" s="7" t="s">
        <v>124</v>
      </c>
      <c r="H62" s="8" t="s">
        <v>395</v>
      </c>
      <c r="I62" s="10" t="s">
        <v>353</v>
      </c>
    </row>
    <row r="63" ht="15" hidden="1" customHeight="1" spans="2:9">
      <c r="B63" s="6">
        <v>46128</v>
      </c>
      <c r="C63" s="7" t="s">
        <v>176</v>
      </c>
      <c r="D63" s="7" t="s">
        <v>177</v>
      </c>
      <c r="E63" s="8" t="s">
        <v>396</v>
      </c>
      <c r="F63" s="7" t="s">
        <v>206</v>
      </c>
      <c r="G63" s="7" t="s">
        <v>124</v>
      </c>
      <c r="H63" s="8" t="s">
        <v>397</v>
      </c>
      <c r="I63" s="9" t="s">
        <v>333</v>
      </c>
    </row>
    <row r="64" ht="15" hidden="1" customHeight="1" spans="2:9">
      <c r="B64" s="6">
        <v>46128</v>
      </c>
      <c r="C64" s="7" t="s">
        <v>180</v>
      </c>
      <c r="D64" s="7" t="s">
        <v>167</v>
      </c>
      <c r="E64" s="8" t="s">
        <v>398</v>
      </c>
      <c r="F64" s="7" t="s">
        <v>206</v>
      </c>
      <c r="G64" s="7" t="s">
        <v>124</v>
      </c>
      <c r="H64" s="8" t="s">
        <v>397</v>
      </c>
      <c r="I64" s="9" t="s">
        <v>333</v>
      </c>
    </row>
    <row r="65" ht="15" hidden="1" customHeight="1" spans="2:9">
      <c r="B65" s="6">
        <v>46136</v>
      </c>
      <c r="C65" s="7" t="s">
        <v>173</v>
      </c>
      <c r="D65" s="7" t="s">
        <v>160</v>
      </c>
      <c r="E65" s="8" t="s">
        <v>399</v>
      </c>
      <c r="F65" s="7" t="s">
        <v>180</v>
      </c>
      <c r="G65" s="7" t="s">
        <v>167</v>
      </c>
      <c r="H65" s="8" t="s">
        <v>400</v>
      </c>
      <c r="I65" s="10" t="s">
        <v>353</v>
      </c>
    </row>
    <row r="66" ht="15" hidden="1" customHeight="1" spans="2:9">
      <c r="B66" s="6">
        <v>46146</v>
      </c>
      <c r="C66" s="7" t="s">
        <v>170</v>
      </c>
      <c r="D66" s="7" t="s">
        <v>74</v>
      </c>
      <c r="E66" s="8" t="s">
        <v>399</v>
      </c>
      <c r="F66" s="7" t="s">
        <v>173</v>
      </c>
      <c r="G66" s="7" t="s">
        <v>160</v>
      </c>
      <c r="H66" s="8" t="s">
        <v>401</v>
      </c>
      <c r="I66" s="10" t="s">
        <v>353</v>
      </c>
    </row>
    <row r="67" ht="15" hidden="1" customHeight="1" spans="2:9">
      <c r="B67" s="6">
        <v>46146</v>
      </c>
      <c r="C67" s="7" t="s">
        <v>166</v>
      </c>
      <c r="D67" s="7" t="s">
        <v>167</v>
      </c>
      <c r="E67" s="8" t="s">
        <v>402</v>
      </c>
      <c r="F67" s="7" t="s">
        <v>173</v>
      </c>
      <c r="G67" s="7" t="s">
        <v>160</v>
      </c>
      <c r="H67" s="8" t="s">
        <v>401</v>
      </c>
      <c r="I67" s="10" t="s">
        <v>353</v>
      </c>
    </row>
    <row r="68" ht="15" hidden="1" customHeight="1" spans="2:9">
      <c r="B68" s="6">
        <v>46146</v>
      </c>
      <c r="C68" s="7" t="s">
        <v>166</v>
      </c>
      <c r="D68" s="7" t="s">
        <v>167</v>
      </c>
      <c r="E68" s="8" t="s">
        <v>402</v>
      </c>
      <c r="F68" s="7" t="s">
        <v>170</v>
      </c>
      <c r="G68" s="7" t="s">
        <v>74</v>
      </c>
      <c r="H68" s="8" t="s">
        <v>399</v>
      </c>
      <c r="I68" s="9" t="s">
        <v>333</v>
      </c>
    </row>
    <row r="69" ht="23.25" hidden="1" customHeight="1" spans="2:9">
      <c r="B69" s="6">
        <v>46148</v>
      </c>
      <c r="C69" s="7" t="s">
        <v>163</v>
      </c>
      <c r="D69" s="7" t="s">
        <v>160</v>
      </c>
      <c r="E69" s="8" t="s">
        <v>403</v>
      </c>
      <c r="F69" s="7" t="s">
        <v>166</v>
      </c>
      <c r="G69" s="7" t="s">
        <v>167</v>
      </c>
      <c r="H69" s="8" t="s">
        <v>404</v>
      </c>
      <c r="I69" s="9" t="s">
        <v>333</v>
      </c>
    </row>
    <row r="70" ht="15" hidden="1" customHeight="1" spans="2:9">
      <c r="B70" s="6">
        <v>46149</v>
      </c>
      <c r="C70" s="7" t="s">
        <v>159</v>
      </c>
      <c r="D70" s="7" t="s">
        <v>160</v>
      </c>
      <c r="E70" s="8" t="s">
        <v>405</v>
      </c>
      <c r="F70" s="7" t="s">
        <v>163</v>
      </c>
      <c r="G70" s="7" t="s">
        <v>160</v>
      </c>
      <c r="H70" s="8" t="s">
        <v>406</v>
      </c>
      <c r="I70" s="10" t="s">
        <v>353</v>
      </c>
    </row>
    <row r="71" ht="23.25" hidden="1" customHeight="1" spans="2:9">
      <c r="B71" s="6">
        <v>46150</v>
      </c>
      <c r="C71" s="7" t="s">
        <v>159</v>
      </c>
      <c r="D71" s="7" t="s">
        <v>160</v>
      </c>
      <c r="E71" s="8" t="s">
        <v>407</v>
      </c>
      <c r="F71" s="7" t="s">
        <v>163</v>
      </c>
      <c r="G71" s="7" t="s">
        <v>160</v>
      </c>
      <c r="H71" s="8" t="s">
        <v>408</v>
      </c>
      <c r="I71" s="10" t="s">
        <v>353</v>
      </c>
    </row>
    <row r="72" ht="23.25" hidden="1" customHeight="1" spans="2:9">
      <c r="B72" s="6">
        <v>46153</v>
      </c>
      <c r="C72" s="7" t="s">
        <v>155</v>
      </c>
      <c r="D72" s="7" t="s">
        <v>156</v>
      </c>
      <c r="E72" s="8" t="s">
        <v>409</v>
      </c>
      <c r="F72" s="7" t="s">
        <v>163</v>
      </c>
      <c r="G72" s="7" t="s">
        <v>160</v>
      </c>
      <c r="H72" s="8" t="s">
        <v>410</v>
      </c>
      <c r="I72" s="10" t="s">
        <v>353</v>
      </c>
    </row>
    <row r="73" ht="15" hidden="1" customHeight="1" spans="2:9">
      <c r="B73" s="6">
        <v>46154</v>
      </c>
      <c r="C73" s="7" t="s">
        <v>151</v>
      </c>
      <c r="D73" s="7" t="s">
        <v>152</v>
      </c>
      <c r="E73" s="8" t="s">
        <v>411</v>
      </c>
      <c r="F73" s="7" t="s">
        <v>155</v>
      </c>
      <c r="G73" s="7" t="s">
        <v>156</v>
      </c>
      <c r="H73" s="8" t="s">
        <v>412</v>
      </c>
      <c r="I73" s="9" t="s">
        <v>333</v>
      </c>
    </row>
    <row r="74" ht="15" hidden="1" customHeight="1" spans="2:9">
      <c r="B74" s="6">
        <v>46155</v>
      </c>
      <c r="C74" s="7" t="s">
        <v>139</v>
      </c>
      <c r="D74" s="7" t="s">
        <v>140</v>
      </c>
      <c r="E74" s="8" t="s">
        <v>413</v>
      </c>
      <c r="F74" s="7" t="s">
        <v>163</v>
      </c>
      <c r="G74" s="7" t="s">
        <v>160</v>
      </c>
      <c r="H74" s="8" t="s">
        <v>414</v>
      </c>
      <c r="I74" s="10" t="s">
        <v>353</v>
      </c>
    </row>
    <row r="75" ht="23.25" hidden="1" customHeight="1" spans="2:9">
      <c r="B75" s="6">
        <v>46156</v>
      </c>
      <c r="C75" s="7" t="s">
        <v>139</v>
      </c>
      <c r="D75" s="7" t="s">
        <v>140</v>
      </c>
      <c r="E75" s="8" t="s">
        <v>415</v>
      </c>
      <c r="F75" s="7" t="s">
        <v>163</v>
      </c>
      <c r="G75" s="7" t="s">
        <v>160</v>
      </c>
      <c r="H75" s="8" t="s">
        <v>416</v>
      </c>
      <c r="I75" s="10" t="s">
        <v>353</v>
      </c>
    </row>
    <row r="76" ht="23.25" hidden="1" customHeight="1" spans="2:9">
      <c r="B76" s="6">
        <v>46156</v>
      </c>
      <c r="C76" s="7" t="s">
        <v>139</v>
      </c>
      <c r="D76" s="7" t="s">
        <v>140</v>
      </c>
      <c r="E76" s="8" t="s">
        <v>415</v>
      </c>
      <c r="F76" s="7" t="s">
        <v>147</v>
      </c>
      <c r="G76" s="7" t="s">
        <v>148</v>
      </c>
      <c r="H76" s="8" t="s">
        <v>417</v>
      </c>
      <c r="I76" s="10" t="s">
        <v>353</v>
      </c>
    </row>
    <row r="77" ht="15" hidden="1" customHeight="1" spans="2:9">
      <c r="B77" s="6">
        <v>46156</v>
      </c>
      <c r="C77" s="7" t="s">
        <v>147</v>
      </c>
      <c r="D77" s="7" t="s">
        <v>148</v>
      </c>
      <c r="E77" s="8" t="s">
        <v>417</v>
      </c>
      <c r="F77" s="7" t="s">
        <v>163</v>
      </c>
      <c r="G77" s="7" t="s">
        <v>160</v>
      </c>
      <c r="H77" s="8" t="s">
        <v>416</v>
      </c>
      <c r="I77" s="10" t="s">
        <v>353</v>
      </c>
    </row>
    <row r="78" ht="34.5" hidden="1" customHeight="1" spans="2:9">
      <c r="B78" s="6">
        <v>46157</v>
      </c>
      <c r="C78" s="7" t="s">
        <v>147</v>
      </c>
      <c r="D78" s="7" t="s">
        <v>148</v>
      </c>
      <c r="E78" s="8" t="s">
        <v>418</v>
      </c>
      <c r="F78" s="7" t="s">
        <v>163</v>
      </c>
      <c r="G78" s="7" t="s">
        <v>160</v>
      </c>
      <c r="H78" s="8" t="s">
        <v>419</v>
      </c>
      <c r="I78" s="9" t="s">
        <v>333</v>
      </c>
    </row>
    <row r="79" ht="23.25" hidden="1" customHeight="1" spans="2:9">
      <c r="B79" s="6">
        <v>46162</v>
      </c>
      <c r="C79" s="7" t="s">
        <v>131</v>
      </c>
      <c r="D79" s="7" t="s">
        <v>132</v>
      </c>
      <c r="E79" s="8" t="s">
        <v>420</v>
      </c>
      <c r="F79" s="7" t="s">
        <v>143</v>
      </c>
      <c r="G79" s="7" t="s">
        <v>144</v>
      </c>
      <c r="H79" s="8" t="s">
        <v>421</v>
      </c>
      <c r="I79" s="9" t="s">
        <v>333</v>
      </c>
    </row>
    <row r="80" ht="23.25" hidden="1" customHeight="1" spans="2:9">
      <c r="B80" s="6">
        <v>46167</v>
      </c>
      <c r="C80" s="7" t="s">
        <v>127</v>
      </c>
      <c r="D80" s="7" t="s">
        <v>128</v>
      </c>
      <c r="E80" s="8" t="s">
        <v>422</v>
      </c>
      <c r="F80" s="7" t="s">
        <v>143</v>
      </c>
      <c r="G80" s="7" t="s">
        <v>144</v>
      </c>
      <c r="H80" s="8" t="s">
        <v>423</v>
      </c>
      <c r="I80" s="10" t="s">
        <v>353</v>
      </c>
    </row>
    <row r="81" ht="23.25" hidden="1" customHeight="1" spans="2:9">
      <c r="B81" s="6">
        <v>46167</v>
      </c>
      <c r="C81" s="7" t="s">
        <v>123</v>
      </c>
      <c r="D81" s="7" t="s">
        <v>124</v>
      </c>
      <c r="E81" s="8" t="s">
        <v>424</v>
      </c>
      <c r="F81" s="7" t="s">
        <v>143</v>
      </c>
      <c r="G81" s="7" t="s">
        <v>144</v>
      </c>
      <c r="H81" s="8" t="s">
        <v>423</v>
      </c>
      <c r="I81" s="10" t="s">
        <v>353</v>
      </c>
    </row>
    <row r="82" ht="15" hidden="1" customHeight="1" spans="2:9">
      <c r="B82" s="6">
        <v>46167</v>
      </c>
      <c r="C82" s="7" t="s">
        <v>123</v>
      </c>
      <c r="D82" s="7" t="s">
        <v>124</v>
      </c>
      <c r="E82" s="8" t="s">
        <v>424</v>
      </c>
      <c r="F82" s="7" t="s">
        <v>127</v>
      </c>
      <c r="G82" s="7" t="s">
        <v>128</v>
      </c>
      <c r="H82" s="8" t="s">
        <v>422</v>
      </c>
      <c r="I82" s="9" t="s">
        <v>333</v>
      </c>
    </row>
    <row r="83" ht="15" hidden="1" customHeight="1" spans="2:9">
      <c r="B83" s="6">
        <v>46168</v>
      </c>
      <c r="C83" s="7" t="s">
        <v>135</v>
      </c>
      <c r="D83" s="7" t="s">
        <v>136</v>
      </c>
      <c r="E83" s="8" t="s">
        <v>425</v>
      </c>
      <c r="F83" s="7" t="s">
        <v>143</v>
      </c>
      <c r="G83" s="7" t="s">
        <v>144</v>
      </c>
      <c r="H83" s="8" t="s">
        <v>426</v>
      </c>
      <c r="I83" s="9" t="s">
        <v>333</v>
      </c>
    </row>
    <row r="84" ht="15" hidden="1" customHeight="1" spans="2:9">
      <c r="B84" s="6">
        <v>46168</v>
      </c>
      <c r="C84" s="7" t="s">
        <v>131</v>
      </c>
      <c r="D84" s="7" t="s">
        <v>132</v>
      </c>
      <c r="E84" s="8" t="s">
        <v>427</v>
      </c>
      <c r="F84" s="7" t="s">
        <v>143</v>
      </c>
      <c r="G84" s="7" t="s">
        <v>144</v>
      </c>
      <c r="H84" s="8" t="s">
        <v>426</v>
      </c>
      <c r="I84" s="9" t="s">
        <v>333</v>
      </c>
    </row>
    <row r="85" ht="15" hidden="1" customHeight="1" spans="2:9">
      <c r="B85" s="6">
        <v>46168</v>
      </c>
      <c r="C85" s="7" t="s">
        <v>131</v>
      </c>
      <c r="D85" s="7" t="s">
        <v>132</v>
      </c>
      <c r="E85" s="8" t="s">
        <v>427</v>
      </c>
      <c r="F85" s="7" t="s">
        <v>135</v>
      </c>
      <c r="G85" s="7" t="s">
        <v>136</v>
      </c>
      <c r="H85" s="8" t="s">
        <v>425</v>
      </c>
      <c r="I85" s="9" t="s">
        <v>333</v>
      </c>
    </row>
    <row r="86" ht="23.25" hidden="1" customHeight="1" spans="2:9">
      <c r="B86" s="6">
        <v>46168</v>
      </c>
      <c r="C86" s="7" t="s">
        <v>123</v>
      </c>
      <c r="D86" s="7" t="s">
        <v>124</v>
      </c>
      <c r="E86" s="8" t="s">
        <v>428</v>
      </c>
      <c r="F86" s="7" t="s">
        <v>143</v>
      </c>
      <c r="G86" s="7" t="s">
        <v>144</v>
      </c>
      <c r="H86" s="8" t="s">
        <v>426</v>
      </c>
      <c r="I86" s="10" t="s">
        <v>353</v>
      </c>
    </row>
    <row r="87" ht="23.25" hidden="1" customHeight="1" spans="2:9">
      <c r="B87" s="6">
        <v>46168</v>
      </c>
      <c r="C87" s="7" t="s">
        <v>123</v>
      </c>
      <c r="D87" s="7" t="s">
        <v>124</v>
      </c>
      <c r="E87" s="8" t="s">
        <v>428</v>
      </c>
      <c r="F87" s="7" t="s">
        <v>135</v>
      </c>
      <c r="G87" s="7" t="s">
        <v>136</v>
      </c>
      <c r="H87" s="8" t="s">
        <v>425</v>
      </c>
      <c r="I87" s="10" t="s">
        <v>353</v>
      </c>
    </row>
    <row r="88" ht="23.25" hidden="1" customHeight="1" spans="2:9">
      <c r="B88" s="6">
        <v>46168</v>
      </c>
      <c r="C88" s="7" t="s">
        <v>123</v>
      </c>
      <c r="D88" s="7" t="s">
        <v>124</v>
      </c>
      <c r="E88" s="8" t="s">
        <v>428</v>
      </c>
      <c r="F88" s="7" t="s">
        <v>131</v>
      </c>
      <c r="G88" s="7" t="s">
        <v>132</v>
      </c>
      <c r="H88" s="8" t="s">
        <v>427</v>
      </c>
      <c r="I88" s="10" t="s">
        <v>353</v>
      </c>
    </row>
    <row r="89" ht="23.25" hidden="1" customHeight="1" spans="2:9">
      <c r="B89" s="6">
        <v>46169</v>
      </c>
      <c r="C89" s="7" t="s">
        <v>119</v>
      </c>
      <c r="D89" s="7" t="s">
        <v>120</v>
      </c>
      <c r="E89" s="8" t="s">
        <v>429</v>
      </c>
      <c r="F89" s="7" t="s">
        <v>135</v>
      </c>
      <c r="G89" s="7" t="s">
        <v>136</v>
      </c>
      <c r="H89" s="8" t="s">
        <v>430</v>
      </c>
      <c r="I89" s="9" t="s">
        <v>333</v>
      </c>
    </row>
    <row r="90" ht="15" hidden="1" customHeight="1" spans="2:9">
      <c r="B90" s="6">
        <v>46170</v>
      </c>
      <c r="C90" s="7" t="s">
        <v>115</v>
      </c>
      <c r="D90" s="7" t="s">
        <v>116</v>
      </c>
      <c r="E90" s="8" t="s">
        <v>431</v>
      </c>
      <c r="F90" s="7" t="s">
        <v>119</v>
      </c>
      <c r="G90" s="7" t="s">
        <v>120</v>
      </c>
      <c r="H90" s="8" t="s">
        <v>432</v>
      </c>
      <c r="I90" s="9" t="s">
        <v>333</v>
      </c>
    </row>
    <row r="91" ht="23.25" hidden="1" customHeight="1" spans="2:9">
      <c r="B91" s="6">
        <v>46175</v>
      </c>
      <c r="C91" s="7" t="s">
        <v>107</v>
      </c>
      <c r="D91" s="7" t="s">
        <v>108</v>
      </c>
      <c r="E91" s="8" t="s">
        <v>433</v>
      </c>
      <c r="F91" s="7" t="s">
        <v>111</v>
      </c>
      <c r="G91" s="7" t="s">
        <v>112</v>
      </c>
      <c r="H91" s="8" t="s">
        <v>434</v>
      </c>
      <c r="I91" s="10" t="s">
        <v>353</v>
      </c>
    </row>
    <row r="92" ht="23.25" hidden="1" customHeight="1" spans="2:9">
      <c r="B92" s="6">
        <v>46182</v>
      </c>
      <c r="C92" s="7" t="s">
        <v>97</v>
      </c>
      <c r="D92" s="7" t="s">
        <v>98</v>
      </c>
      <c r="E92" s="8" t="s">
        <v>435</v>
      </c>
      <c r="F92" s="7" t="s">
        <v>104</v>
      </c>
      <c r="G92" s="7" t="s">
        <v>74</v>
      </c>
      <c r="H92" s="8" t="s">
        <v>436</v>
      </c>
      <c r="I92" s="10" t="s">
        <v>353</v>
      </c>
    </row>
    <row r="93" ht="15" hidden="1" customHeight="1" spans="2:9">
      <c r="B93" s="6">
        <v>46183</v>
      </c>
      <c r="C93" s="7" t="s">
        <v>97</v>
      </c>
      <c r="D93" s="7" t="s">
        <v>98</v>
      </c>
      <c r="E93" s="8" t="s">
        <v>437</v>
      </c>
      <c r="F93" s="7" t="s">
        <v>104</v>
      </c>
      <c r="G93" s="7" t="s">
        <v>74</v>
      </c>
      <c r="H93" s="8" t="s">
        <v>438</v>
      </c>
      <c r="I93" s="9" t="s">
        <v>333</v>
      </c>
    </row>
    <row r="94" ht="15" hidden="1" customHeight="1" spans="2:9">
      <c r="B94" s="6">
        <v>46184</v>
      </c>
      <c r="C94" s="7" t="s">
        <v>101</v>
      </c>
      <c r="D94" s="7" t="s">
        <v>86</v>
      </c>
      <c r="E94" s="8" t="s">
        <v>439</v>
      </c>
      <c r="F94" s="7" t="s">
        <v>104</v>
      </c>
      <c r="G94" s="7" t="s">
        <v>74</v>
      </c>
      <c r="H94" s="8" t="s">
        <v>440</v>
      </c>
      <c r="I94" s="10" t="s">
        <v>353</v>
      </c>
    </row>
    <row r="95" ht="23.25" hidden="1" customHeight="1" spans="2:9">
      <c r="B95" s="6">
        <v>46185</v>
      </c>
      <c r="C95" s="7" t="s">
        <v>101</v>
      </c>
      <c r="D95" s="7" t="s">
        <v>86</v>
      </c>
      <c r="E95" s="8" t="s">
        <v>441</v>
      </c>
      <c r="F95" s="7" t="s">
        <v>104</v>
      </c>
      <c r="G95" s="7" t="s">
        <v>74</v>
      </c>
      <c r="H95" s="8" t="s">
        <v>442</v>
      </c>
      <c r="I95" s="10" t="s">
        <v>353</v>
      </c>
    </row>
    <row r="96" ht="15" hidden="1" customHeight="1" spans="2:9">
      <c r="B96" s="6">
        <v>46188</v>
      </c>
      <c r="C96" s="7" t="s">
        <v>101</v>
      </c>
      <c r="D96" s="7" t="s">
        <v>86</v>
      </c>
      <c r="E96" s="8" t="s">
        <v>443</v>
      </c>
      <c r="F96" s="7" t="s">
        <v>104</v>
      </c>
      <c r="G96" s="7" t="s">
        <v>74</v>
      </c>
      <c r="H96" s="8" t="s">
        <v>444</v>
      </c>
      <c r="I96" s="10" t="s">
        <v>353</v>
      </c>
    </row>
    <row r="97" ht="23.25" hidden="1" customHeight="1" spans="2:9">
      <c r="B97" s="6">
        <v>46189</v>
      </c>
      <c r="C97" s="7" t="s">
        <v>101</v>
      </c>
      <c r="D97" s="7" t="s">
        <v>86</v>
      </c>
      <c r="E97" s="8" t="s">
        <v>445</v>
      </c>
      <c r="F97" s="7" t="s">
        <v>104</v>
      </c>
      <c r="G97" s="7" t="s">
        <v>74</v>
      </c>
      <c r="H97" s="8" t="s">
        <v>446</v>
      </c>
      <c r="I97" s="10" t="s">
        <v>353</v>
      </c>
    </row>
    <row r="98" ht="15" hidden="1" customHeight="1" spans="2:9">
      <c r="B98" s="6">
        <v>46190</v>
      </c>
      <c r="C98" s="7" t="s">
        <v>93</v>
      </c>
      <c r="D98" s="7" t="s">
        <v>94</v>
      </c>
      <c r="E98" s="8" t="s">
        <v>447</v>
      </c>
      <c r="F98" s="7" t="s">
        <v>101</v>
      </c>
      <c r="G98" s="7" t="s">
        <v>86</v>
      </c>
      <c r="H98" s="8" t="s">
        <v>448</v>
      </c>
      <c r="I98" s="10" t="s">
        <v>353</v>
      </c>
    </row>
    <row r="99" ht="15" hidden="1" customHeight="1" spans="2:9">
      <c r="B99" s="6">
        <v>46191</v>
      </c>
      <c r="C99" s="7" t="s">
        <v>93</v>
      </c>
      <c r="D99" s="7" t="s">
        <v>94</v>
      </c>
      <c r="E99" s="8" t="s">
        <v>449</v>
      </c>
      <c r="F99" s="7" t="s">
        <v>101</v>
      </c>
      <c r="G99" s="7" t="s">
        <v>86</v>
      </c>
      <c r="H99" s="8" t="s">
        <v>450</v>
      </c>
      <c r="I99" s="10" t="s">
        <v>353</v>
      </c>
    </row>
    <row r="100" ht="15" hidden="1" customHeight="1" spans="2:9">
      <c r="B100" s="6">
        <v>46192</v>
      </c>
      <c r="C100" s="7" t="s">
        <v>93</v>
      </c>
      <c r="D100" s="7" t="s">
        <v>94</v>
      </c>
      <c r="E100" s="8" t="s">
        <v>451</v>
      </c>
      <c r="F100" s="7" t="s">
        <v>101</v>
      </c>
      <c r="G100" s="7" t="s">
        <v>86</v>
      </c>
      <c r="H100" s="8" t="s">
        <v>452</v>
      </c>
      <c r="I100" s="10" t="s">
        <v>353</v>
      </c>
    </row>
    <row r="101" ht="23.25" hidden="1" customHeight="1" spans="2:9">
      <c r="B101" s="6">
        <v>46192</v>
      </c>
      <c r="C101" s="7" t="s">
        <v>89</v>
      </c>
      <c r="D101" s="7" t="s">
        <v>90</v>
      </c>
      <c r="E101" s="8" t="s">
        <v>453</v>
      </c>
      <c r="F101" s="7" t="s">
        <v>101</v>
      </c>
      <c r="G101" s="7" t="s">
        <v>86</v>
      </c>
      <c r="H101" s="8" t="s">
        <v>452</v>
      </c>
      <c r="I101" s="10" t="s">
        <v>353</v>
      </c>
    </row>
    <row r="102" ht="23.25" hidden="1" customHeight="1" spans="2:9">
      <c r="B102" s="6">
        <v>46195</v>
      </c>
      <c r="C102" s="7" t="s">
        <v>85</v>
      </c>
      <c r="D102" s="7" t="s">
        <v>86</v>
      </c>
      <c r="E102" s="8" t="s">
        <v>454</v>
      </c>
      <c r="F102" s="7" t="s">
        <v>101</v>
      </c>
      <c r="G102" s="7" t="s">
        <v>86</v>
      </c>
      <c r="H102" s="8" t="s">
        <v>455</v>
      </c>
      <c r="I102" s="10" t="s">
        <v>353</v>
      </c>
    </row>
    <row r="103" ht="23.25" hidden="1" customHeight="1" spans="2:9">
      <c r="B103" s="6">
        <v>46195</v>
      </c>
      <c r="C103" s="7" t="s">
        <v>85</v>
      </c>
      <c r="D103" s="7" t="s">
        <v>86</v>
      </c>
      <c r="E103" s="8" t="s">
        <v>454</v>
      </c>
      <c r="F103" s="7" t="s">
        <v>104</v>
      </c>
      <c r="G103" s="7" t="s">
        <v>74</v>
      </c>
      <c r="H103" s="8" t="s">
        <v>456</v>
      </c>
      <c r="I103" s="9" t="s">
        <v>333</v>
      </c>
    </row>
    <row r="104" ht="15" hidden="1" customHeight="1" spans="2:9">
      <c r="B104" s="6">
        <v>46195</v>
      </c>
      <c r="C104" s="7" t="s">
        <v>101</v>
      </c>
      <c r="D104" s="7" t="s">
        <v>86</v>
      </c>
      <c r="E104" s="8" t="s">
        <v>455</v>
      </c>
      <c r="F104" s="7" t="s">
        <v>104</v>
      </c>
      <c r="G104" s="7" t="s">
        <v>74</v>
      </c>
      <c r="H104" s="8" t="s">
        <v>456</v>
      </c>
      <c r="I104" s="10" t="s">
        <v>353</v>
      </c>
    </row>
    <row r="105" ht="15" hidden="1" customHeight="1" spans="2:9">
      <c r="B105" s="6">
        <v>46196</v>
      </c>
      <c r="C105" s="7" t="s">
        <v>81</v>
      </c>
      <c r="D105" s="7" t="s">
        <v>82</v>
      </c>
      <c r="E105" s="8" t="s">
        <v>457</v>
      </c>
      <c r="F105" s="7" t="s">
        <v>104</v>
      </c>
      <c r="G105" s="7" t="s">
        <v>74</v>
      </c>
      <c r="H105" s="8" t="s">
        <v>458</v>
      </c>
      <c r="I105" s="9" t="s">
        <v>333</v>
      </c>
    </row>
    <row r="106" ht="15" hidden="1" customHeight="1" spans="2:9">
      <c r="B106" s="6">
        <v>46196</v>
      </c>
      <c r="C106" s="7" t="s">
        <v>81</v>
      </c>
      <c r="D106" s="7" t="s">
        <v>82</v>
      </c>
      <c r="E106" s="8" t="s">
        <v>457</v>
      </c>
      <c r="F106" s="7" t="s">
        <v>85</v>
      </c>
      <c r="G106" s="7" t="s">
        <v>86</v>
      </c>
      <c r="H106" s="8" t="s">
        <v>459</v>
      </c>
      <c r="I106" s="9" t="s">
        <v>333</v>
      </c>
    </row>
    <row r="107" ht="15" hidden="1" customHeight="1" spans="2:9">
      <c r="B107" s="6">
        <v>46196</v>
      </c>
      <c r="C107" s="7" t="s">
        <v>85</v>
      </c>
      <c r="D107" s="7" t="s">
        <v>86</v>
      </c>
      <c r="E107" s="8" t="s">
        <v>459</v>
      </c>
      <c r="F107" s="7" t="s">
        <v>104</v>
      </c>
      <c r="G107" s="7" t="s">
        <v>74</v>
      </c>
      <c r="H107" s="8" t="s">
        <v>458</v>
      </c>
      <c r="I107" s="9" t="s">
        <v>333</v>
      </c>
    </row>
    <row r="108" ht="23.25" hidden="1" customHeight="1" spans="2:9">
      <c r="B108" s="6">
        <v>46197</v>
      </c>
      <c r="C108" s="7" t="s">
        <v>77</v>
      </c>
      <c r="D108" s="7" t="s">
        <v>78</v>
      </c>
      <c r="E108" s="8" t="s">
        <v>460</v>
      </c>
      <c r="F108" s="7" t="s">
        <v>85</v>
      </c>
      <c r="G108" s="7" t="s">
        <v>86</v>
      </c>
      <c r="H108" s="8" t="s">
        <v>461</v>
      </c>
      <c r="I108" s="9" t="s">
        <v>333</v>
      </c>
    </row>
    <row r="109" ht="15" customHeight="1" spans="2:9">
      <c r="B109" s="6">
        <v>46197</v>
      </c>
      <c r="C109" s="7" t="s">
        <v>73</v>
      </c>
      <c r="D109" s="7" t="s">
        <v>74</v>
      </c>
      <c r="E109" s="8" t="s">
        <v>462</v>
      </c>
      <c r="F109" s="7" t="s">
        <v>85</v>
      </c>
      <c r="G109" s="7" t="s">
        <v>86</v>
      </c>
      <c r="H109" s="8" t="s">
        <v>461</v>
      </c>
      <c r="I109" s="9" t="s">
        <v>333</v>
      </c>
    </row>
    <row r="110" ht="23.25" customHeight="1" spans="2:9">
      <c r="B110" s="6">
        <v>46197</v>
      </c>
      <c r="C110" s="7" t="s">
        <v>73</v>
      </c>
      <c r="D110" s="7" t="s">
        <v>74</v>
      </c>
      <c r="E110" s="8" t="s">
        <v>462</v>
      </c>
      <c r="F110" s="7" t="s">
        <v>77</v>
      </c>
      <c r="G110" s="7" t="s">
        <v>78</v>
      </c>
      <c r="H110" s="8" t="s">
        <v>460</v>
      </c>
      <c r="I110" s="9" t="s">
        <v>333</v>
      </c>
    </row>
    <row r="111" ht="23.25" hidden="1" customHeight="1" spans="2:9">
      <c r="B111" s="6">
        <v>46198</v>
      </c>
      <c r="C111" s="7" t="s">
        <v>69</v>
      </c>
      <c r="D111" s="7" t="s">
        <v>70</v>
      </c>
      <c r="E111" s="8" t="s">
        <v>463</v>
      </c>
      <c r="F111" s="7" t="s">
        <v>77</v>
      </c>
      <c r="G111" s="7" t="s">
        <v>78</v>
      </c>
      <c r="H111" s="8" t="s">
        <v>464</v>
      </c>
      <c r="I111" s="9" t="s">
        <v>333</v>
      </c>
    </row>
    <row r="112" ht="23.25" hidden="1" customHeight="1" spans="2:9">
      <c r="B112" s="6">
        <v>46198</v>
      </c>
      <c r="C112" s="7" t="s">
        <v>65</v>
      </c>
      <c r="D112" s="7" t="s">
        <v>66</v>
      </c>
      <c r="E112" s="8" t="s">
        <v>465</v>
      </c>
      <c r="F112" s="7" t="s">
        <v>77</v>
      </c>
      <c r="G112" s="7" t="s">
        <v>78</v>
      </c>
      <c r="H112" s="8" t="s">
        <v>464</v>
      </c>
      <c r="I112" s="9" t="s">
        <v>333</v>
      </c>
    </row>
    <row r="113" ht="23.25" hidden="1" customHeight="1" spans="2:9">
      <c r="B113" s="6">
        <v>46198</v>
      </c>
      <c r="C113" s="7" t="s">
        <v>65</v>
      </c>
      <c r="D113" s="7" t="s">
        <v>66</v>
      </c>
      <c r="E113" s="8" t="s">
        <v>465</v>
      </c>
      <c r="F113" s="7" t="s">
        <v>69</v>
      </c>
      <c r="G113" s="7" t="s">
        <v>70</v>
      </c>
      <c r="H113" s="8" t="s">
        <v>463</v>
      </c>
      <c r="I113" s="9" t="s">
        <v>333</v>
      </c>
    </row>
    <row r="114" ht="15" hidden="1" customHeight="1" spans="2:9">
      <c r="B114" s="6">
        <v>46199</v>
      </c>
      <c r="C114" s="7" t="s">
        <v>65</v>
      </c>
      <c r="D114" s="7" t="s">
        <v>66</v>
      </c>
      <c r="E114" s="8" t="s">
        <v>466</v>
      </c>
      <c r="F114" s="7" t="s">
        <v>77</v>
      </c>
      <c r="G114" s="7" t="s">
        <v>78</v>
      </c>
      <c r="H114" s="8" t="s">
        <v>467</v>
      </c>
      <c r="I114" s="10" t="s">
        <v>353</v>
      </c>
    </row>
    <row r="115" ht="15" hidden="1" customHeight="1" spans="2:9">
      <c r="B115" s="6">
        <v>46202</v>
      </c>
      <c r="C115" s="7" t="s">
        <v>53</v>
      </c>
      <c r="D115" s="7" t="s">
        <v>54</v>
      </c>
      <c r="E115" s="8" t="s">
        <v>468</v>
      </c>
      <c r="F115" s="7" t="s">
        <v>61</v>
      </c>
      <c r="G115" s="7" t="s">
        <v>62</v>
      </c>
      <c r="H115" s="8" t="s">
        <v>469</v>
      </c>
      <c r="I115" s="9" t="s">
        <v>333</v>
      </c>
    </row>
    <row r="116" ht="15" hidden="1" customHeight="1" spans="2:9">
      <c r="B116" s="6">
        <v>46203</v>
      </c>
      <c r="C116" s="7" t="s">
        <v>57</v>
      </c>
      <c r="D116" s="7" t="s">
        <v>58</v>
      </c>
      <c r="E116" s="8" t="s">
        <v>470</v>
      </c>
      <c r="F116" s="7" t="s">
        <v>61</v>
      </c>
      <c r="G116" s="7" t="s">
        <v>62</v>
      </c>
      <c r="H116" s="8" t="s">
        <v>471</v>
      </c>
      <c r="I116" s="10" t="s">
        <v>353</v>
      </c>
    </row>
  </sheetData>
  <mergeCells count="1">
    <mergeCell ref="B3:I3"/>
  </mergeCells>
  <pageMargins left="0.75" right="0.75" top="1" bottom="1" header="0.511811023622047" footer="0.511811023622047"/>
  <pageSetup paperSize="9" orientation="portrait" horizontalDpi="300" verticalDpi="300"/>
  <headerFooter/>
  <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F14"/>
  <sheetViews>
    <sheetView workbookViewId="0">
      <selection activeCell="A1" sqref="A1"/>
    </sheetView>
  </sheetViews>
  <sheetFormatPr defaultColWidth="8.6796875" defaultRowHeight="16.8" outlineLevelCol="5"/>
  <cols>
    <col min="1" max="1" width="2" style="1" customWidth="1"/>
    <col min="2" max="2" width="10" style="1" customWidth="1"/>
    <col min="3" max="3" width="11" style="1" customWidth="1"/>
    <col min="4" max="4" width="20" style="1" customWidth="1"/>
    <col min="5" max="5" width="16" style="1" customWidth="1"/>
    <col min="6" max="6" width="48" style="1" customWidth="1"/>
  </cols>
  <sheetData>
    <row r="2" ht="17.25" customHeight="1" spans="2:6">
      <c r="B2" s="2" t="s">
        <v>472</v>
      </c>
    </row>
    <row r="3" ht="15" customHeight="1" spans="2:6">
      <c r="B3" s="3" t="s">
        <v>473</v>
      </c>
      <c r="C3" s="3"/>
      <c r="D3" s="3"/>
      <c r="E3" s="3"/>
      <c r="F3" s="3"/>
    </row>
    <row r="5" ht="26.25" customHeight="1" spans="2:6">
      <c r="B5" s="4" t="s">
        <v>43</v>
      </c>
      <c r="C5" s="4" t="s">
        <v>474</v>
      </c>
      <c r="D5" s="4" t="s">
        <v>475</v>
      </c>
      <c r="E5" s="4" t="s">
        <v>476</v>
      </c>
      <c r="F5" s="4" t="s">
        <v>477</v>
      </c>
    </row>
    <row r="6" ht="15" customHeight="1" spans="2:6">
      <c r="B6" s="5" t="s">
        <v>104</v>
      </c>
      <c r="C6" s="5" t="s">
        <v>74</v>
      </c>
      <c r="D6" s="5" t="s">
        <v>478</v>
      </c>
      <c r="E6" s="5" t="s">
        <v>479</v>
      </c>
      <c r="F6" s="5" t="s">
        <v>480</v>
      </c>
    </row>
    <row r="7" ht="15" customHeight="1" spans="2:6">
      <c r="B7" s="5" t="s">
        <v>131</v>
      </c>
      <c r="C7" s="5" t="s">
        <v>132</v>
      </c>
      <c r="D7" s="5" t="s">
        <v>481</v>
      </c>
      <c r="E7" s="5" t="s">
        <v>482</v>
      </c>
      <c r="F7" s="5" t="s">
        <v>483</v>
      </c>
    </row>
    <row r="8" ht="15" customHeight="1" spans="2:6">
      <c r="B8" s="5" t="s">
        <v>143</v>
      </c>
      <c r="C8" s="5" t="s">
        <v>144</v>
      </c>
      <c r="D8" s="5" t="s">
        <v>481</v>
      </c>
      <c r="E8" s="5" t="s">
        <v>482</v>
      </c>
      <c r="F8" s="5" t="s">
        <v>484</v>
      </c>
    </row>
    <row r="9" ht="15" customHeight="1" spans="2:6">
      <c r="B9" s="5" t="s">
        <v>299</v>
      </c>
      <c r="C9" s="5" t="s">
        <v>300</v>
      </c>
      <c r="D9" s="5" t="s">
        <v>485</v>
      </c>
      <c r="E9" s="5" t="s">
        <v>486</v>
      </c>
      <c r="F9" s="5" t="s">
        <v>487</v>
      </c>
    </row>
    <row r="10" ht="15" customHeight="1" spans="2:6">
      <c r="B10" s="5" t="s">
        <v>296</v>
      </c>
      <c r="C10" s="5" t="s">
        <v>156</v>
      </c>
      <c r="D10" s="5" t="s">
        <v>488</v>
      </c>
      <c r="E10" s="5" t="s">
        <v>489</v>
      </c>
      <c r="F10" s="5" t="s">
        <v>490</v>
      </c>
    </row>
    <row r="11" ht="15" customHeight="1" spans="2:6">
      <c r="B11" s="5" t="s">
        <v>213</v>
      </c>
      <c r="C11" s="5" t="s">
        <v>58</v>
      </c>
      <c r="D11" s="5" t="s">
        <v>491</v>
      </c>
      <c r="E11" s="5" t="s">
        <v>492</v>
      </c>
      <c r="F11" s="5" t="s">
        <v>493</v>
      </c>
    </row>
    <row r="12" ht="15" customHeight="1" spans="2:6">
      <c r="B12" s="5" t="s">
        <v>89</v>
      </c>
      <c r="C12" s="5" t="s">
        <v>90</v>
      </c>
      <c r="D12" s="5" t="s">
        <v>494</v>
      </c>
      <c r="E12" s="5" t="s">
        <v>495</v>
      </c>
      <c r="F12" s="5" t="s">
        <v>496</v>
      </c>
    </row>
    <row r="13" ht="15" customHeight="1" spans="2:6">
      <c r="B13" s="5" t="s">
        <v>139</v>
      </c>
      <c r="C13" s="5" t="s">
        <v>140</v>
      </c>
      <c r="D13" s="5" t="s">
        <v>497</v>
      </c>
      <c r="E13" s="5" t="s">
        <v>498</v>
      </c>
      <c r="F13" s="5" t="s">
        <v>499</v>
      </c>
    </row>
    <row r="14" ht="15" customHeight="1" spans="2:6">
      <c r="B14" s="5" t="s">
        <v>65</v>
      </c>
      <c r="C14" s="5" t="s">
        <v>66</v>
      </c>
      <c r="D14" s="5" t="s">
        <v>500</v>
      </c>
      <c r="E14" s="5" t="s">
        <v>501</v>
      </c>
      <c r="F14" s="5" t="s">
        <v>502</v>
      </c>
    </row>
  </sheetData>
  <mergeCells count="1">
    <mergeCell ref="B3:F3"/>
  </mergeCells>
  <pageMargins left="0.75" right="0.75" top="1" bottom="1" header="0.511811023622047" footer="0.511811023622047"/>
  <pageSetup paperSize="9" orientation="portrait" horizontalDpi="300" verticalDpi="300"/>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4</vt:i4>
      </vt:variant>
    </vt:vector>
  </HeadingPairs>
  <TitlesOfParts>
    <vt:vector size="4" baseType="lpstr">
      <vt:lpstr>Tổng quan</vt:lpstr>
      <vt:lpstr>Dữ liệu chi tiết</vt:lpstr>
      <vt:lpstr>Trùng ngày song song</vt:lpstr>
      <vt:lpstr>Ghi chú dữ liệu</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Đông Bùi</cp:lastModifiedBy>
  <cp:revision>2</cp:revision>
  <dcterms:created xsi:type="dcterms:W3CDTF">2026-07-07T14:01:00Z</dcterms:created>
  <dcterms:modified xsi:type="dcterms:W3CDTF">2026-09-26T21:48:59Z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73CC545E550983CAECC94B6A9D8DE4D9_42</vt:lpwstr>
  </property>
  <property fmtid="{D5CDD505-2E9C-101B-9397-08002B2CF9AE}" pid="3" name="KSOProductBuildVer">
    <vt:lpwstr>1033-12.1.25852.25852</vt:lpwstr>
  </property>
  <property fmtid="{D5CDD505-2E9C-101B-9397-08002B2CF9AE}" pid="4" name="CalculationRule">
    <vt:i4>0</vt:i4>
  </property>
</Properties>
</file>